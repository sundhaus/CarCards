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Cost Structure" sheetId="2" state="visible" r:id="rId4"/>
    <sheet name="Revenue Projections" sheetId="3" state="visible" r:id="rId5"/>
    <sheet name="Sponsorship Analysis" sheetId="4" state="visible" r:id="rId6"/>
    <sheet name="Monetization Strategy" sheetId="5" state="visible" r:id="rId7"/>
    <sheet name="Growth Roadmap" sheetId="6" state="visible" r:id="rId8"/>
    <sheet name="Competitive Analysis" sheetId="7" state="visible" r:id="rId9"/>
    <sheet name="Unit Economic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<sst xmlns="http://schemas.openxmlformats.org/spreadsheetml/2006/main" count="931" uniqueCount="664">
  <si>
    <t xml:space="preserve">CarCards — Profitability Forecast &amp; Growth Strategy</t>
  </si>
  <si>
    <t xml:space="preserve">Comprehensive Financial Model — February 2026</t>
  </si>
  <si>
    <t xml:space="preserve">CURRENT STATE ASSESSMENT</t>
  </si>
  <si>
    <t xml:space="preserve">Category</t>
  </si>
  <si>
    <t xml:space="preserve">Status</t>
  </si>
  <si>
    <t xml:space="preserve">Revenue Impact</t>
  </si>
  <si>
    <t xml:space="preserve">Notes</t>
  </si>
  <si>
    <t xml:space="preserve">Camera Capture (Vehicle)</t>
  </si>
  <si>
    <t xml:space="preserve">✅ Built</t>
  </si>
  <si>
    <t xml:space="preserve">$0 (core feature)</t>
  </si>
  <si>
    <t xml:space="preserve">RAW photo, LiDAR, AI identification</t>
  </si>
  <si>
    <t xml:space="preserve">Camera Capture (Driver)</t>
  </si>
  <si>
    <t xml:space="preserve">Portrait cards, signature overlay</t>
  </si>
  <si>
    <t xml:space="preserve">Camera Capture (Location)</t>
  </si>
  <si>
    <t xml:space="preserve">Location-tagged cards</t>
  </si>
  <si>
    <t xml:space="preserve">Garage &amp; Collection</t>
  </si>
  <si>
    <t xml:space="preserve">3 card types, color-coded badges</t>
  </si>
  <si>
    <t xml:space="preserve">Firebase Cloud Sync</t>
  </si>
  <si>
    <t xml:space="preserve">$0 (infrastructure)</t>
  </si>
  <si>
    <t xml:space="preserve">Anonymous auth, Firestore, Storage</t>
  </si>
  <si>
    <t xml:space="preserve">Marketplace (Buy/Sell)</t>
  </si>
  <si>
    <t xml:space="preserve">Indirect (engagement)</t>
  </si>
  <si>
    <t xml:space="preserve">Coin-based trading, bidding system</t>
  </si>
  <si>
    <t xml:space="preserve">XP &amp; Leveling System</t>
  </si>
  <si>
    <t xml:space="preserve">Indirect (retention)</t>
  </si>
  <si>
    <t xml:space="preserve">Progression, coins, level tiers</t>
  </si>
  <si>
    <t xml:space="preserve">Social/Following</t>
  </si>
  <si>
    <t xml:space="preserve">⚠️ Partial</t>
  </si>
  <si>
    <t xml:space="preserve">$0 (not monetized)</t>
  </si>
  <si>
    <t xml:space="preserve">Basic following system</t>
  </si>
  <si>
    <t xml:space="preserve">In-App Purchases</t>
  </si>
  <si>
    <t xml:space="preserve">❌ Not Built</t>
  </si>
  <si>
    <t xml:space="preserve">PRIMARY REVENUE GAP</t>
  </si>
  <si>
    <t xml:space="preserve">No IAP, no subscription, no ads</t>
  </si>
  <si>
    <t xml:space="preserve">Ad Integration</t>
  </si>
  <si>
    <t xml:space="preserve">SECONDARY REVENUE GAP</t>
  </si>
  <si>
    <t xml:space="preserve">IS_ADS_ENABLED = false</t>
  </si>
  <si>
    <t xml:space="preserve">Premium Subscription</t>
  </si>
  <si>
    <t xml:space="preserve">TERTIARY REVENUE GAP</t>
  </si>
  <si>
    <t xml:space="preserve">No recurring revenue model</t>
  </si>
  <si>
    <t xml:space="preserve">Push Notifications</t>
  </si>
  <si>
    <t xml:space="preserve">Retention impact</t>
  </si>
  <si>
    <t xml:space="preserve">No re-engagement mechanism</t>
  </si>
  <si>
    <t xml:space="preserve">⚠️  CRITICAL FINDING: CarCards has NO monetization layer. Current projected revenue = $0/month. All infrastructure for a profitable app exists — it just needs revenue mechanics.</t>
  </si>
  <si>
    <t xml:space="preserve">OPERATING COST STRUCTURE</t>
  </si>
  <si>
    <t xml:space="preserve">Cost Item</t>
  </si>
  <si>
    <t xml:space="preserve">Monthly (Low)</t>
  </si>
  <si>
    <t xml:space="preserve">Monthly (Mid)</t>
  </si>
  <si>
    <t xml:space="preserve">Monthly (High)</t>
  </si>
  <si>
    <t xml:space="preserve">Annual (Mid)</t>
  </si>
  <si>
    <t xml:space="preserve">Scalable?</t>
  </si>
  <si>
    <t xml:space="preserve">FIXED COSTS</t>
  </si>
  <si>
    <t xml:space="preserve">Apple Developer Program</t>
  </si>
  <si>
    <t xml:space="preserve">$99/year</t>
  </si>
  <si>
    <t xml:space="preserve">No</t>
  </si>
  <si>
    <t xml:space="preserve">Domain &amp; SSL</t>
  </si>
  <si>
    <t xml:space="preserve">Custom domain</t>
  </si>
  <si>
    <t xml:space="preserve">Developer Tools (Xcode, etc.)</t>
  </si>
  <si>
    <t xml:space="preserve">Free with Apple ID</t>
  </si>
  <si>
    <t xml:space="preserve">VARIABLE COSTS (Usage-Based)</t>
  </si>
  <si>
    <t xml:space="preserve">Firebase Auth (anon, free tier)</t>
  </si>
  <si>
    <t xml:space="preserve">Free up to 10K MAU</t>
  </si>
  <si>
    <t xml:space="preserve">Yes</t>
  </si>
  <si>
    <t xml:space="preserve">Firestore (reads/writes)</t>
  </si>
  <si>
    <t xml:space="preserve">$0.06/100K reads</t>
  </si>
  <si>
    <t xml:space="preserve">Firebase Storage (images)</t>
  </si>
  <si>
    <t xml:space="preserve">$0.026/GB, 5GB free</t>
  </si>
  <si>
    <t xml:space="preserve">Firebase Bandwidth (egress)</t>
  </si>
  <si>
    <t xml:space="preserve">$0.12/GB after 10GB/mo</t>
  </si>
  <si>
    <t xml:space="preserve">Gemini AI API (vehicle ID)</t>
  </si>
  <si>
    <t xml:space="preserve">Per-request pricing</t>
  </si>
  <si>
    <t xml:space="preserve">Cloud Functions (if added)</t>
  </si>
  <si>
    <t xml:space="preserve">Triggered operations</t>
  </si>
  <si>
    <t xml:space="preserve">GROWTH &amp; MARKETING COSTS</t>
  </si>
  <si>
    <t xml:space="preserve">App Store Optimization (ASO)</t>
  </si>
  <si>
    <t xml:space="preserve">Keywords, screenshots</t>
  </si>
  <si>
    <t xml:space="preserve">Social Media Marketing</t>
  </si>
  <si>
    <t xml:space="preserve">TikTok, Instagram, YouTube</t>
  </si>
  <si>
    <t xml:space="preserve">Paid User Acquisition</t>
  </si>
  <si>
    <t xml:space="preserve">CPI $1.50-$4.00 iOS</t>
  </si>
  <si>
    <t xml:space="preserve">Influencer Partnerships</t>
  </si>
  <si>
    <t xml:space="preserve">Car YouTubers/TikTokers</t>
  </si>
  <si>
    <t xml:space="preserve">Content Creation</t>
  </si>
  <si>
    <t xml:space="preserve">Screenshots, videos</t>
  </si>
  <si>
    <t xml:space="preserve">TOTAL MONTHLY COSTS</t>
  </si>
  <si>
    <t xml:space="preserve">Cost at 0 Users (Pre-Launch)</t>
  </si>
  <si>
    <t xml:space="preserve">Firebase Spark plan = $0. Only Apple Dev fee.</t>
  </si>
  <si>
    <t xml:space="preserve">5-YEAR REVENUE PROJECTIONS — THREE SCENARIOS</t>
  </si>
  <si>
    <t xml:space="preserve">KEY ASSUMPTIONS</t>
  </si>
  <si>
    <t xml:space="preserve">Market Context</t>
  </si>
  <si>
    <t xml:space="preserve">Mobile TCG market: $35.6B (2025), growing 12.2% CAGR to $63.3B by 2030</t>
  </si>
  <si>
    <t xml:space="preserve">Target Niche</t>
  </si>
  <si>
    <t xml:space="preserve">Car enthusiasts + collecting game intersection; estimated TAM: 50M globally</t>
  </si>
  <si>
    <t xml:space="preserve">iOS ARPU Benchmark</t>
  </si>
  <si>
    <t xml:space="preserve">Gaming apps avg $3.74/mo ARPU; card collecting apps $1.50-$5.00/mo</t>
  </si>
  <si>
    <t xml:space="preserve">Conversion Rate (Free→Paid)</t>
  </si>
  <si>
    <t xml:space="preserve">Industry avg 2-5% for freemium; niche apps 5-10%</t>
  </si>
  <si>
    <t xml:space="preserve">Apple Commission</t>
  </si>
  <si>
    <t xml:space="preserve">15% for small developers (&lt;$1M/yr); 30% above $1M</t>
  </si>
  <si>
    <t xml:space="preserve">Retention D30</t>
  </si>
  <si>
    <t xml:space="preserve">Target 15-20% (card games avg 12-18%)</t>
  </si>
  <si>
    <t xml:space="preserve">Churn Rate (Monthly)</t>
  </si>
  <si>
    <t xml:space="preserve">Subscriptions: 5-8%; IAP: N/A (one-time)</t>
  </si>
  <si>
    <t xml:space="preserve">SCENARIO A: CONSERVATIVE (Organic Growth Only, Minimal Marketing)</t>
  </si>
  <si>
    <t xml:space="preserve">Metric</t>
  </si>
  <si>
    <t xml:space="preserve">Year 1</t>
  </si>
  <si>
    <t xml:space="preserve">Year 2</t>
  </si>
  <si>
    <t xml:space="preserve">Year 3</t>
  </si>
  <si>
    <t xml:space="preserve">Year 4</t>
  </si>
  <si>
    <t xml:space="preserve">Year 5</t>
  </si>
  <si>
    <t xml:space="preserve">Total Downloads (cumulative)</t>
  </si>
  <si>
    <t xml:space="preserve">Monthly Active Users (MAU)</t>
  </si>
  <si>
    <t xml:space="preserve">Daily Active Users (DAU)</t>
  </si>
  <si>
    <t xml:space="preserve">Paying Users (%)</t>
  </si>
  <si>
    <t xml:space="preserve">3.0%</t>
  </si>
  <si>
    <t xml:space="preserve">4.0%</t>
  </si>
  <si>
    <t xml:space="preserve">5.0%</t>
  </si>
  <si>
    <t xml:space="preserve">5.5%</t>
  </si>
  <si>
    <t xml:space="preserve">6.0%</t>
  </si>
  <si>
    <t xml:space="preserve">Paying Users (#)</t>
  </si>
  <si>
    <t xml:space="preserve">Avg Revenue Per Paying User ($/mo)</t>
  </si>
  <si>
    <t xml:space="preserve">Gross Monthly Revenue</t>
  </si>
  <si>
    <t xml:space="preserve">Apple Commission (15%)</t>
  </si>
  <si>
    <t xml:space="preserve">Net Monthly Revenue</t>
  </si>
  <si>
    <t xml:space="preserve">Monthly Operating Costs</t>
  </si>
  <si>
    <t xml:space="preserve">Net Monthly Profit/(Loss)</t>
  </si>
  <si>
    <t xml:space="preserve">Annual Net Revenue</t>
  </si>
  <si>
    <t xml:space="preserve">Annual Costs</t>
  </si>
  <si>
    <t xml:space="preserve">Annual Profit/(Loss)</t>
  </si>
  <si>
    <t xml:space="preserve">Cumulative Profit/(Loss)</t>
  </si>
  <si>
    <t xml:space="preserve">SCENARIO B: MODERATE (Targeted Marketing + Feature Expansion)</t>
  </si>
  <si>
    <t xml:space="preserve">7.0%</t>
  </si>
  <si>
    <t xml:space="preserve">7.5%</t>
  </si>
  <si>
    <t xml:space="preserve">8.0%</t>
  </si>
  <si>
    <t xml:space="preserve">SCENARIO C: AGGRESSIVE (Viral Growth + Full Monetization Suite + Android)</t>
  </si>
  <si>
    <t xml:space="preserve">8.5%</t>
  </si>
  <si>
    <t xml:space="preserve">9.0%</t>
  </si>
  <si>
    <t xml:space="preserve">Apple/Google Commission (20% blended)</t>
  </si>
  <si>
    <t xml:space="preserve">SPONSORSHIP &amp; BRAND PARTNERSHIP ANALYSIS</t>
  </si>
  <si>
    <t xml:space="preserve">How brand deals change the economics of CarCards — from pocket money to serious revenue</t>
  </si>
  <si>
    <t xml:space="preserve">SECTION 1: HOW SPONSORSHIPS WORK (Plain English)</t>
  </si>
  <si>
    <t xml:space="preserve">What is a sponsorship?</t>
  </si>
  <si>
    <t xml:space="preserve">A brand pays you to put their name, logo, or products inside your app. Unlike ads (which are automated and pay pennies), sponsorships are direct deals you negotiate with a company. Think of it like a NASCAR car having brand stickers — except your app is the car.</t>
  </si>
  <si>
    <t xml:space="preserve">Why would a car brand pay CarCards?</t>
  </si>
  <si>
    <t xml:space="preserve">Your users are VERIFIED car enthusiasts who actively photograph and collect vehicles. That audience is extremely valuable to automakers, parts companies, detailing brands, and car insurance companies. A BMW ad on Facebook reaches random people — a BMW sponsorship inside CarCards reaches people who literally photograph BMWs for fun.</t>
  </si>
  <si>
    <t xml:space="preserve">How is pricing determined?</t>
  </si>
  <si>
    <t xml:space="preserve">Sponsorship pricing is based on: (1) your Monthly Active Users (MAU), (2) how engaged they are (session time, DAU/MAU ratio), (3) how targeted the audience is (car enthusiasts = premium), and (4) what assets you offer (branded cards, splash screens, exclusive content). Automotive CPMs run $14-20 on Google, but in-app sponsorships with niche audiences can command 2-5x that.</t>
  </si>
  <si>
    <t xml:space="preserve">What's the difference vs. ads?</t>
  </si>
  <si>
    <t xml:space="preserve">Ads: Automated, $2-20 CPM, no relationship, interruptive. Sponsorships: Hand-negotiated, $500-$50K+/deal, brand integration, enhances experience. Example: An ad is a banner. A sponsorship is 'This week's featured card set: Porsche 911 Collection, presented by Porsche.'</t>
  </si>
  <si>
    <t xml:space="preserve">When can you start?</t>
  </si>
  <si>
    <t xml:space="preserve">Realistically, brands want to see traction before signing deals. The sweet spots are: 5K MAU (local/niche sponsors), 25K MAU (regional brands), 100K+ MAU (national/OEM brands). But you can START conversations at launch with local car dealerships and detailing shops.</t>
  </si>
  <si>
    <t xml:space="preserve">What does Apple take?</t>
  </si>
  <si>
    <t xml:space="preserve">Apple takes 0% of sponsorship revenue. Unlike IAP (where Apple takes 15-30%), sponsorships are B2B deals paid directly to you. This means sponsorships have the highest margin of ANY revenue stream — typically 85-95% after minimal fulfillment costs.</t>
  </si>
  <si>
    <t xml:space="preserve">SECTION 2: SPONSORSHIP TIER STRUCTURE</t>
  </si>
  <si>
    <t xml:space="preserve">🥉 Bronze</t>
  </si>
  <si>
    <t xml:space="preserve">🥈 Silver</t>
  </si>
  <si>
    <t xml:space="preserve">🥇 Gold</t>
  </si>
  <si>
    <t xml:space="preserve">💎 Platinum</t>
  </si>
  <si>
    <t xml:space="preserve">Price Range (per quarter)</t>
  </si>
  <si>
    <t xml:space="preserve">$500 – $2,000</t>
  </si>
  <si>
    <t xml:space="preserve">$2,000 – $8,000</t>
  </si>
  <si>
    <t xml:space="preserve">$8,000 – $25,000</t>
  </si>
  <si>
    <t xml:space="preserve">$25,000 – $100,000+</t>
  </si>
  <si>
    <t xml:space="preserve">Price Range (per month)</t>
  </si>
  <si>
    <t xml:space="preserve">$167 – $667</t>
  </si>
  <si>
    <t xml:space="preserve">$667 – $2,667</t>
  </si>
  <si>
    <t xml:space="preserve">$2,667 – $8,333</t>
  </si>
  <si>
    <t xml:space="preserve">$8,333 – $33,333+</t>
  </si>
  <si>
    <t xml:space="preserve">Minimum MAU to Sell</t>
  </si>
  <si>
    <t xml:space="preserve">1,000</t>
  </si>
  <si>
    <t xml:space="preserve">5,000</t>
  </si>
  <si>
    <t xml:space="preserve">25,000</t>
  </si>
  <si>
    <t xml:space="preserve">100,000</t>
  </si>
  <si>
    <t xml:space="preserve">Brand Logo in App</t>
  </si>
  <si>
    <t xml:space="preserve">Footer only</t>
  </si>
  <si>
    <t xml:space="preserve">Marketplace banner</t>
  </si>
  <si>
    <t xml:space="preserve">Splash screen + cards</t>
  </si>
  <si>
    <t xml:space="preserve">Full app co-branding</t>
  </si>
  <si>
    <t xml:space="preserve">Branded Card Set</t>
  </si>
  <si>
    <t xml:space="preserve">1 themed set</t>
  </si>
  <si>
    <t xml:space="preserve">3 themed sets</t>
  </si>
  <si>
    <t xml:space="preserve">Unlimited + exclusives</t>
  </si>
  <si>
    <t xml:space="preserve">Branded Card Borders</t>
  </si>
  <si>
    <t xml:space="preserve">1 border</t>
  </si>
  <si>
    <t xml:space="preserve">5 borders</t>
  </si>
  <si>
    <t xml:space="preserve">Custom design collab</t>
  </si>
  <si>
    <t xml:space="preserve">Push Notification Mention</t>
  </si>
  <si>
    <t xml:space="preserve">1/month</t>
  </si>
  <si>
    <t xml:space="preserve">Weekly</t>
  </si>
  <si>
    <t xml:space="preserve">Unlimited</t>
  </si>
  <si>
    <t xml:space="preserve">In-App Event Sponsorship</t>
  </si>
  <si>
    <t xml:space="preserve">1 per quarter</t>
  </si>
  <si>
    <t xml:space="preserve">Monthly branded events</t>
  </si>
  <si>
    <t xml:space="preserve">Social Media Shoutout</t>
  </si>
  <si>
    <t xml:space="preserve">1 post</t>
  </si>
  <si>
    <t xml:space="preserve">2 posts/month</t>
  </si>
  <si>
    <t xml:space="preserve">Weekly + stories</t>
  </si>
  <si>
    <t xml:space="preserve">Dedicated content series</t>
  </si>
  <si>
    <t xml:space="preserve">Data/Analytics Report</t>
  </si>
  <si>
    <t xml:space="preserve">Basic impressions</t>
  </si>
  <si>
    <t xml:space="preserve">Engagement report</t>
  </si>
  <si>
    <t xml:space="preserve">Full funnel analytics</t>
  </si>
  <si>
    <t xml:space="preserve">Custom dashboard</t>
  </si>
  <si>
    <t xml:space="preserve">Exclusivity</t>
  </si>
  <si>
    <t xml:space="preserve">None</t>
  </si>
  <si>
    <t xml:space="preserve">Category (e.g. tires)</t>
  </si>
  <si>
    <t xml:space="preserve">Category + region</t>
  </si>
  <si>
    <t xml:space="preserve">Full exclusivity option</t>
  </si>
  <si>
    <t xml:space="preserve">Contract Length</t>
  </si>
  <si>
    <t xml:space="preserve">Monthly</t>
  </si>
  <si>
    <t xml:space="preserve">Quarterly</t>
  </si>
  <si>
    <t xml:space="preserve">Semi-annual</t>
  </si>
  <si>
    <t xml:space="preserve">Annual</t>
  </si>
  <si>
    <t xml:space="preserve">0%</t>
  </si>
  <si>
    <t xml:space="preserve">Your Gross Margin</t>
  </si>
  <si>
    <t xml:space="preserve">~90%</t>
  </si>
  <si>
    <t xml:space="preserve">~85%</t>
  </si>
  <si>
    <t xml:space="preserve">~80%</t>
  </si>
  <si>
    <t xml:space="preserve">SECTION 3: TARGET SPONSOR CATEGORIES</t>
  </si>
  <si>
    <t xml:space="preserve">Sponsor Category</t>
  </si>
  <si>
    <t xml:space="preserve">Example Brands</t>
  </si>
  <si>
    <t xml:space="preserve">Why They'd Pay</t>
  </si>
  <si>
    <t xml:space="preserve">Likely Tier</t>
  </si>
  <si>
    <t xml:space="preserve">When to Approach</t>
  </si>
  <si>
    <t xml:space="preserve">Deal Example</t>
  </si>
  <si>
    <t xml:space="preserve">Local Car Dealerships</t>
  </si>
  <si>
    <t xml:space="preserve">Your city's BMW, Toyota, Ford dealers</t>
  </si>
  <si>
    <t xml:space="preserve">Reach local car buyers browsing inventory</t>
  </si>
  <si>
    <t xml:space="preserve">Bronze</t>
  </si>
  <si>
    <t xml:space="preserve">At launch (1K MAU)</t>
  </si>
  <si>
    <t xml:space="preserve">$500/quarter for logo + 1 post</t>
  </si>
  <si>
    <t xml:space="preserve">Auto Detailing / Wrap Shops</t>
  </si>
  <si>
    <t xml:space="preserve">Chemical Guys, 3M, Xpel</t>
  </si>
  <si>
    <t xml:space="preserve">Audience cares about car appearance</t>
  </si>
  <si>
    <t xml:space="preserve">Bronze–Silver</t>
  </si>
  <si>
    <t xml:space="preserve">2K+ MAU</t>
  </si>
  <si>
    <t xml:space="preserve">$1K/quarter for branded 'clean car' card set</t>
  </si>
  <si>
    <t xml:space="preserve">Aftermarket Parts</t>
  </si>
  <si>
    <t xml:space="preserve">APR, Borla, Brembo, HRE Wheels</t>
  </si>
  <si>
    <t xml:space="preserve">Enthusiasts who modify cars</t>
  </si>
  <si>
    <t xml:space="preserve">Silver</t>
  </si>
  <si>
    <t xml:space="preserve">5K+ MAU</t>
  </si>
  <si>
    <t xml:space="preserve">$3K/quarter for branded performance card borders</t>
  </si>
  <si>
    <t xml:space="preserve">Car Insurance</t>
  </si>
  <si>
    <t xml:space="preserve">USAA, Hagerty, State Farm</t>
  </si>
  <si>
    <t xml:space="preserve">High-intent car owners</t>
  </si>
  <si>
    <t xml:space="preserve">Silver–Gold</t>
  </si>
  <si>
    <t xml:space="preserve">10K+ MAU</t>
  </si>
  <si>
    <t xml:space="preserve">$5K/quarter for 'insured collection' badge feature</t>
  </si>
  <si>
    <t xml:space="preserve">Automotive OEMs</t>
  </si>
  <si>
    <t xml:space="preserve">Porsche, BMW, Mercedes, Ford</t>
  </si>
  <si>
    <t xml:space="preserve">Reach loyalists + new model awareness</t>
  </si>
  <si>
    <t xml:space="preserve">Gold–Platinum</t>
  </si>
  <si>
    <t xml:space="preserve">50K+ MAU</t>
  </si>
  <si>
    <t xml:space="preserve">$15K/quarter for branded model-launch card set</t>
  </si>
  <si>
    <t xml:space="preserve">Tire / Maintenance Brands</t>
  </si>
  <si>
    <t xml:space="preserve">Michelin, Goodyear, Valvoline</t>
  </si>
  <si>
    <t xml:space="preserve">Reach car owners at scale</t>
  </si>
  <si>
    <t xml:space="preserve">25K+ MAU</t>
  </si>
  <si>
    <t xml:space="preserve">$8K/quarter for seasonal 'road trip' event</t>
  </si>
  <si>
    <t xml:space="preserve">Automotive Media</t>
  </si>
  <si>
    <t xml:space="preserve">MotorTrend, Top Gear, Hagerty Media</t>
  </si>
  <si>
    <t xml:space="preserve">Cross-promote to enthusiasts</t>
  </si>
  <si>
    <t xml:space="preserve">Bronze (or trade)</t>
  </si>
  <si>
    <t xml:space="preserve">Trade: they promote app, you feature content</t>
  </si>
  <si>
    <t xml:space="preserve">Car Auction Houses</t>
  </si>
  <si>
    <t xml:space="preserve">Bring a Trailer, RM Sotheby's</t>
  </si>
  <si>
    <t xml:space="preserve">Reach collectors directly</t>
  </si>
  <si>
    <t xml:space="preserve">Gold</t>
  </si>
  <si>
    <t xml:space="preserve">$10K/quarter for 'auction spotlight' card series</t>
  </si>
  <si>
    <t xml:space="preserve">Gas / EV Charging</t>
  </si>
  <si>
    <t xml:space="preserve">Shell, ChargePoint, Tesla SC</t>
  </si>
  <si>
    <t xml:space="preserve">Location-based audience</t>
  </si>
  <si>
    <t xml:space="preserve">$4K/quarter for location card integration</t>
  </si>
  <si>
    <t xml:space="preserve">Racing / Motorsport Events</t>
  </si>
  <si>
    <t xml:space="preserve">NHRA, Formula Drift, local tracks</t>
  </si>
  <si>
    <t xml:space="preserve">Promote events to enthusiasts</t>
  </si>
  <si>
    <t xml:space="preserve">$2K/event for exclusive event card set</t>
  </si>
  <si>
    <t xml:space="preserve">SECTION 4: HOW SPONSORSHIPS CHANGE THE 5-YEAR PROJECTION</t>
  </si>
  <si>
    <t xml:space="preserve">Revenue Stream</t>
  </si>
  <si>
    <t xml:space="preserve">5-Year Total</t>
  </si>
  <si>
    <t xml:space="preserve">IAP + Subscription Revenue</t>
  </si>
  <si>
    <t xml:space="preserve">Ad Revenue (AdMob)</t>
  </si>
  <si>
    <t xml:space="preserve">── Subtotal (Without Sponsors)</t>
  </si>
  <si>
    <t xml:space="preserve">Sponsorship: Bronze Deals</t>
  </si>
  <si>
    <t xml:space="preserve">Sponsorship: Silver Deals</t>
  </si>
  <si>
    <t xml:space="preserve">Sponsorship: Gold Deals</t>
  </si>
  <si>
    <t xml:space="preserve">Sponsorship: Platinum Deals</t>
  </si>
  <si>
    <t xml:space="preserve">── Subtotal (Sponsorship Only)</t>
  </si>
  <si>
    <t xml:space="preserve">TOTAL REVENUE (with sponsors)</t>
  </si>
  <si>
    <t xml:space="preserve">Total Operating Costs</t>
  </si>
  <si>
    <t xml:space="preserve">NET PROFIT (with sponsors)</t>
  </si>
  <si>
    <t xml:space="preserve">NET PROFIT (without sponsors)</t>
  </si>
  <si>
    <t xml:space="preserve">Sponsorship Uplift ($)</t>
  </si>
  <si>
    <t xml:space="preserve">Sponsorship Uplift (%)</t>
  </si>
  <si>
    <t xml:space="preserve">Sponsorship as % of Total Rev</t>
  </si>
  <si>
    <t xml:space="preserve">SECTION 5: KEY TAKEAWAYS — WHY SPONSORSHIPS MATTER</t>
  </si>
  <si>
    <t xml:space="preserve">1. Highest Margin Revenue</t>
  </si>
  <si>
    <t xml:space="preserve">Apple takes 0% of sponsorship revenue (vs. 15-30% on IAP/subscriptions). Your margin on a $5,000 sponsorship deal is ~$4,250-$4,500 after minimal fulfillment costs. Your margin on $5,000 in IAP is only ~$3,500 after Apple's cut.</t>
  </si>
  <si>
    <t xml:space="preserve">2. Scales Differently Than User Revenue</t>
  </si>
  <si>
    <t xml:space="preserve">IAP/subscription revenue scales linearly with users. Sponsorship revenue can scale exponentially — a single Porsche deal at 100K MAU could be worth more than ALL your IAP revenue combined. It also provides lump-sum payments rather than trickles.</t>
  </si>
  <si>
    <t xml:space="preserve">3. Validates Your Business</t>
  </si>
  <si>
    <t xml:space="preserve">A brand deal with a recognizable name (even a local BMW dealer) is powerful social proof. It tells users the app is legitimate, tells investors there's B2B revenue potential, and tells other sponsors there's demand. Your first deal matters more for credibility than for cash.</t>
  </si>
  <si>
    <t xml:space="preserve">4. Enhances (Not Hurts) User Experience</t>
  </si>
  <si>
    <t xml:space="preserve">Unlike ads which interrupt, well-executed sponsorships ADD value. A 'Porsche 911 Collection' branded card set is content users WANT. A 'Hagerty Insurance Protected Collection' badge makes users feel premium. This is the rare revenue stream that can actually improve retention.</t>
  </si>
  <si>
    <t xml:space="preserve">5. Not Dependent on Massive Scale</t>
  </si>
  <si>
    <t xml:space="preserve">You don't need 1M users. At 5K highly-engaged car enthusiasts, a local detailing shop will pay $500/quarter because your audience is more targeted than anything they can buy on Facebook. The automotive CPM on Google is $14.30 — your niche audience is worth 3-5x that.</t>
  </si>
  <si>
    <t xml:space="preserve">6. Creates a Revenue Floor</t>
  </si>
  <si>
    <t xml:space="preserve">Quarterly/annual sponsorship contracts create predictable baseline revenue that doesn't fluctuate with daily user activity. This makes financial planning easier and reduces the pressure on IAP conversion rates to carry the whole business.</t>
  </si>
  <si>
    <t xml:space="preserve">7. Recommended First Steps</t>
  </si>
  <si>
    <t xml:space="preserve">(1) Build a 1-page media kit showing MAU, DAU, session length, and audience demographics. (2) Reach out to 5-10 local car dealerships and detailing shops at launch. (3) Offer a free 30-day trial sponsorship to your first partner. (4) Use that case study to pitch the next 10 sponsors at paid rates.</t>
  </si>
  <si>
    <t xml:space="preserve">SECTION 6: SPONSORSHIP IMPLEMENTATION TIMELINE</t>
  </si>
  <si>
    <t xml:space="preserve">Phase</t>
  </si>
  <si>
    <t xml:space="preserve">Action Items</t>
  </si>
  <si>
    <t xml:space="preserve">Dev Effort</t>
  </si>
  <si>
    <t xml:space="preserve">Expected Revenue</t>
  </si>
  <si>
    <t xml:space="preserve">Pre-Launch (Now)</t>
  </si>
  <si>
    <t xml:space="preserve">Build media kit template, identify 20 local car businesses, draft sponsorship deck</t>
  </si>
  <si>
    <t xml:space="preserve">0 hours dev</t>
  </si>
  <si>
    <t xml:space="preserve">$0</t>
  </si>
  <si>
    <t xml:space="preserve">Month 1-3 (Launch)</t>
  </si>
  <si>
    <t xml:space="preserve">Offer 3-5 free trial sponsorships to local dealers/shops for testimonials</t>
  </si>
  <si>
    <t xml:space="preserve">2-4 hrs (logo placement)</t>
  </si>
  <si>
    <t xml:space="preserve">$0 (investment phase)</t>
  </si>
  <si>
    <t xml:space="preserve">Month 3-6 (Traction)</t>
  </si>
  <si>
    <t xml:space="preserve">Convert trials to Bronze ($500/qtr), pitch 10 more local sponsors</t>
  </si>
  <si>
    <t xml:space="preserve">4-8 hrs (branded card sets)</t>
  </si>
  <si>
    <t xml:space="preserve">$2,000-$6,000/quarter</t>
  </si>
  <si>
    <t xml:space="preserve">Month 6-12 (Growth)</t>
  </si>
  <si>
    <t xml:space="preserve">Add Silver tier, approach regional brands (aftermarket, insurance)</t>
  </si>
  <si>
    <t xml:space="preserve">1-2 days (event system)</t>
  </si>
  <si>
    <t xml:space="preserve">$8,000-$24,000/quarter</t>
  </si>
  <si>
    <t xml:space="preserve">Year 2+ (Scale)</t>
  </si>
  <si>
    <t xml:space="preserve">Gold/Platinum tiers, OEM conversations, dedicated sales effort</t>
  </si>
  <si>
    <t xml:space="preserve">Ongoing feature work</t>
  </si>
  <si>
    <t xml:space="preserve">$25,000-$100,000+/quarter</t>
  </si>
  <si>
    <t xml:space="preserve">MONETIZATION STRATEGY — REVENUE STREAMS</t>
  </si>
  <si>
    <t xml:space="preserve">💎 STREAM 1: CarCards Pro (Subscription) — HIGHEST PRIORITY</t>
  </si>
  <si>
    <t xml:space="preserve">Feature</t>
  </si>
  <si>
    <t xml:space="preserve">Free Tier</t>
  </si>
  <si>
    <t xml:space="preserve">Pro Monthly ($4.99)</t>
  </si>
  <si>
    <t xml:space="preserve">Pro Annual ($39.99)</t>
  </si>
  <si>
    <t xml:space="preserve">Est. Revenue %</t>
  </si>
  <si>
    <t xml:space="preserve">Implementation</t>
  </si>
  <si>
    <t xml:space="preserve">Priority</t>
  </si>
  <si>
    <t xml:space="preserve">Daily Card Captures</t>
  </si>
  <si>
    <t xml:space="preserve">3/day</t>
  </si>
  <si>
    <t xml:space="preserve">—</t>
  </si>
  <si>
    <t xml:space="preserve">StoreKit 2</t>
  </si>
  <si>
    <t xml:space="preserve">P0</t>
  </si>
  <si>
    <t xml:space="preserve">Card Border Designs</t>
  </si>
  <si>
    <t xml:space="preserve">5 basic</t>
  </si>
  <si>
    <t xml:space="preserve">50+ premium</t>
  </si>
  <si>
    <t xml:space="preserve">PNG overlays</t>
  </si>
  <si>
    <t xml:space="preserve">AI Vehicle Identification</t>
  </si>
  <si>
    <t xml:space="preserve">Gemini quota gate</t>
  </si>
  <si>
    <t xml:space="preserve">Background Removal</t>
  </si>
  <si>
    <t xml:space="preserve">1/day</t>
  </si>
  <si>
    <t xml:space="preserve">Vision framework gate</t>
  </si>
  <si>
    <t xml:space="preserve">P1</t>
  </si>
  <si>
    <t xml:space="preserve">Advanced Camera Filters</t>
  </si>
  <si>
    <t xml:space="preserve">Basic only</t>
  </si>
  <si>
    <t xml:space="preserve">Full suite</t>
  </si>
  <si>
    <t xml:space="preserve">CIFilter unlock</t>
  </si>
  <si>
    <t xml:space="preserve">Marketplace Listing Slots</t>
  </si>
  <si>
    <t xml:space="preserve">2 active</t>
  </si>
  <si>
    <t xml:space="preserve">10 active</t>
  </si>
  <si>
    <t xml:space="preserve">Firestore rule</t>
  </si>
  <si>
    <t xml:space="preserve">XP Boost</t>
  </si>
  <si>
    <t xml:space="preserve">1x</t>
  </si>
  <si>
    <t xml:space="preserve">2x</t>
  </si>
  <si>
    <t xml:space="preserve">LevelSystem modifier</t>
  </si>
  <si>
    <t xml:space="preserve">P2</t>
  </si>
  <si>
    <t xml:space="preserve">Ad-Free Experience</t>
  </si>
  <si>
    <t xml:space="preserve">Ads shown</t>
  </si>
  <si>
    <t xml:space="preserve">No ads</t>
  </si>
  <si>
    <t xml:space="preserve">AdMob toggle</t>
  </si>
  <si>
    <t xml:space="preserve">Export High-Res Cards</t>
  </si>
  <si>
    <t xml:space="preserve">Watermarked</t>
  </si>
  <si>
    <t xml:space="preserve">Full quality</t>
  </si>
  <si>
    <t xml:space="preserve">Render pipeline</t>
  </si>
  <si>
    <t xml:space="preserve">Estimated % of Total Revenue</t>
  </si>
  <si>
    <t xml:space="preserve">40-55%</t>
  </si>
  <si>
    <t xml:space="preserve">🪙 STREAM 2: Coin Packs &amp; In-App Purchases (IAP)</t>
  </si>
  <si>
    <t xml:space="preserve">Item</t>
  </si>
  <si>
    <t xml:space="preserve">Price</t>
  </si>
  <si>
    <t xml:space="preserve">Coins Given</t>
  </si>
  <si>
    <t xml:space="preserve">Value/Dollar</t>
  </si>
  <si>
    <t xml:space="preserve">Margin Driver</t>
  </si>
  <si>
    <t xml:space="preserve">Starter Pack</t>
  </si>
  <si>
    <t xml:space="preserve">$0.99</t>
  </si>
  <si>
    <t xml:space="preserve">100 coins</t>
  </si>
  <si>
    <t xml:space="preserve">101 coins/$</t>
  </si>
  <si>
    <t xml:space="preserve">Impulse buy</t>
  </si>
  <si>
    <t xml:space="preserve">Popular Pack</t>
  </si>
  <si>
    <t xml:space="preserve">$4.99</t>
  </si>
  <si>
    <t xml:space="preserve">600 coins</t>
  </si>
  <si>
    <t xml:space="preserve">120 coins/$</t>
  </si>
  <si>
    <t xml:space="preserve">Best value badge</t>
  </si>
  <si>
    <t xml:space="preserve">Mega Pack</t>
  </si>
  <si>
    <t xml:space="preserve">$9.99</t>
  </si>
  <si>
    <t xml:space="preserve">1,400 coins</t>
  </si>
  <si>
    <t xml:space="preserve">140 coins/$</t>
  </si>
  <si>
    <t xml:space="preserve">Whale targeting</t>
  </si>
  <si>
    <t xml:space="preserve">Ultra Pack</t>
  </si>
  <si>
    <t xml:space="preserve">$19.99</t>
  </si>
  <si>
    <t xml:space="preserve">3,200 coins</t>
  </si>
  <si>
    <t xml:space="preserve">160 coins/$</t>
  </si>
  <si>
    <t xml:space="preserve">Top spender</t>
  </si>
  <si>
    <t xml:space="preserve">Legendary Pack</t>
  </si>
  <si>
    <t xml:space="preserve">$49.99</t>
  </si>
  <si>
    <t xml:space="preserve">9,000 coins</t>
  </si>
  <si>
    <t xml:space="preserve">180 coins/$</t>
  </si>
  <si>
    <t xml:space="preserve">Super whale</t>
  </si>
  <si>
    <t xml:space="preserve">Premium Card Border</t>
  </si>
  <si>
    <t xml:space="preserve">$1.99-$4.99</t>
  </si>
  <si>
    <t xml:space="preserve">N/A (direct)</t>
  </si>
  <si>
    <t xml:space="preserve">N/A</t>
  </si>
  <si>
    <t xml:space="preserve">Cosmetic, 100% margin</t>
  </si>
  <si>
    <t xml:space="preserve">Unlock system</t>
  </si>
  <si>
    <t xml:space="preserve">Card Rename Token</t>
  </si>
  <si>
    <t xml:space="preserve">Vanity purchase</t>
  </si>
  <si>
    <t xml:space="preserve">Metadata edit</t>
  </si>
  <si>
    <t xml:space="preserve">Rarity Boost (24hr)</t>
  </si>
  <si>
    <t xml:space="preserve">$2.99</t>
  </si>
  <si>
    <t xml:space="preserve">Engagement spike</t>
  </si>
  <si>
    <t xml:space="preserve">Modifier system</t>
  </si>
  <si>
    <t xml:space="preserve">25-35%</t>
  </si>
  <si>
    <t xml:space="preserve">📺 STREAM 3: Advertising (Free Tier Users)</t>
  </si>
  <si>
    <t xml:space="preserve">Ad Type</t>
  </si>
  <si>
    <t xml:space="preserve">Placement</t>
  </si>
  <si>
    <t xml:space="preserve">Est. eCPM (US)</t>
  </si>
  <si>
    <t xml:space="preserve">Frequency</t>
  </si>
  <si>
    <t xml:space="preserve">User Impact</t>
  </si>
  <si>
    <t xml:space="preserve">Rewarded Video</t>
  </si>
  <si>
    <t xml:space="preserve">Watch for extra capture</t>
  </si>
  <si>
    <t xml:space="preserve">$16-20</t>
  </si>
  <si>
    <t xml:space="preserve">User-initiated</t>
  </si>
  <si>
    <t xml:space="preserve">Positive (value exchange)</t>
  </si>
  <si>
    <t xml:space="preserve">AdMob</t>
  </si>
  <si>
    <t xml:space="preserve">Watch for coin bonus</t>
  </si>
  <si>
    <t xml:space="preserve">Interstitial</t>
  </si>
  <si>
    <t xml:space="preserve">Between card captures</t>
  </si>
  <si>
    <t xml:space="preserve">$10-14</t>
  </si>
  <si>
    <t xml:space="preserve">Every 3rd capture</t>
  </si>
  <si>
    <t xml:space="preserve">Moderate</t>
  </si>
  <si>
    <t xml:space="preserve">Banner Ad</t>
  </si>
  <si>
    <t xml:space="preserve">Marketplace browse</t>
  </si>
  <si>
    <t xml:space="preserve">$2-4</t>
  </si>
  <si>
    <t xml:space="preserve">Always-on</t>
  </si>
  <si>
    <t xml:space="preserve">Low (accepted)</t>
  </si>
  <si>
    <t xml:space="preserve">Native Ad</t>
  </si>
  <si>
    <t xml:space="preserve">Garage feed</t>
  </si>
  <si>
    <t xml:space="preserve">$6-10</t>
  </si>
  <si>
    <t xml:space="preserve">Every 10 cards</t>
  </si>
  <si>
    <t xml:space="preserve">Low (blended)</t>
  </si>
  <si>
    <t xml:space="preserve">15-25%</t>
  </si>
  <si>
    <t xml:space="preserve">🔄 STREAM 4: Marketplace Transaction Fee (Coin Sink)</t>
  </si>
  <si>
    <t xml:space="preserve">Mechanic</t>
  </si>
  <si>
    <t xml:space="preserve">Every marketplace sale incurs a 5-10% coin tax that removes coins from circulation</t>
  </si>
  <si>
    <t xml:space="preserve">Purpose</t>
  </si>
  <si>
    <t xml:space="preserve">Creates deflationary pressure on coin economy, driving repeat IAP purchases</t>
  </si>
  <si>
    <t xml:space="preserve">Revenue Model</t>
  </si>
  <si>
    <t xml:space="preserve">Indirect — forces users to buy more coin packs to maintain marketplace activity</t>
  </si>
  <si>
    <t xml:space="preserve">Est. Revenue Impact</t>
  </si>
  <si>
    <t xml:space="preserve">Increases IAP revenue by 20-40% through artificial scarcity</t>
  </si>
  <si>
    <t xml:space="preserve">Modify MarketplaceService.swift buyNow() and bid completion to deduct fee</t>
  </si>
  <si>
    <t xml:space="preserve">P1 — Easy to add, high impact on coin economy health</t>
  </si>
  <si>
    <t xml:space="preserve">FEATURE ROADMAP — RANKED BY MARGIN IMPACT</t>
  </si>
  <si>
    <t xml:space="preserve">Feature / Change</t>
  </si>
  <si>
    <t xml:space="preserve">Timeline</t>
  </si>
  <si>
    <t xml:space="preserve">Margin Impact</t>
  </si>
  <si>
    <t xml:space="preserve">ROI Score</t>
  </si>
  <si>
    <t xml:space="preserve">Details</t>
  </si>
  <si>
    <t xml:space="preserve">PHASE 1: MONETIZATION FOUNDATION (0-3 Months)</t>
  </si>
  <si>
    <t xml:space="preserve">StoreKit 2 + Subscription Paywall</t>
  </si>
  <si>
    <t xml:space="preserve">Medium</t>
  </si>
  <si>
    <t xml:space="preserve">2-3 weeks</t>
  </si>
  <si>
    <t xml:space="preserve">★★★★★</t>
  </si>
  <si>
    <t xml:space="preserve">10/10</t>
  </si>
  <si>
    <t xml:space="preserve">Gate daily captures, premium borders, AI usage behind Pro tier</t>
  </si>
  <si>
    <t xml:space="preserve">Coin Pack IAP Store</t>
  </si>
  <si>
    <t xml:space="preserve">2 weeks</t>
  </si>
  <si>
    <t xml:space="preserve">★★★★☆</t>
  </si>
  <si>
    <t xml:space="preserve">9/10</t>
  </si>
  <si>
    <t xml:space="preserve">Sell coin packs ($0.99-$49.99) for marketplace use</t>
  </si>
  <si>
    <t xml:space="preserve">AdMob Rewarded Video Integration</t>
  </si>
  <si>
    <t xml:space="preserve">Low</t>
  </si>
  <si>
    <t xml:space="preserve">1 week</t>
  </si>
  <si>
    <t xml:space="preserve">★★★☆☆</t>
  </si>
  <si>
    <t xml:space="preserve">Watch ad → extra capture or coin bonus. Zero dev overhead</t>
  </si>
  <si>
    <t xml:space="preserve">Marketplace Transaction Fee (5-10%)</t>
  </si>
  <si>
    <t xml:space="preserve">1 day</t>
  </si>
  <si>
    <t xml:space="preserve">Coin sink on every trade. Modify buyNow() in MarketplaceService</t>
  </si>
  <si>
    <t xml:space="preserve">Push Notifications (Firebase FCM)</t>
  </si>
  <si>
    <t xml:space="preserve">3 days</t>
  </si>
  <si>
    <t xml:space="preserve">Daily capture reminders, bid alerts, marketplace activity</t>
  </si>
  <si>
    <t xml:space="preserve">Rate Limiting Free Tier</t>
  </si>
  <si>
    <t xml:space="preserve">2 days</t>
  </si>
  <si>
    <t xml:space="preserve">3 captures/day, 1 AI ID/day, 2 marketplace slots for free users</t>
  </si>
  <si>
    <t xml:space="preserve">Analytics (Firebase + Mixpanel)</t>
  </si>
  <si>
    <t xml:space="preserve">Indirect</t>
  </si>
  <si>
    <t xml:space="preserve">8/10</t>
  </si>
  <si>
    <t xml:space="preserve">Funnel tracking, conversion metrics, ARPU measurement</t>
  </si>
  <si>
    <t xml:space="preserve">PHASE 2: ENGAGEMENT &amp; RETENTION (3-6 Months)</t>
  </si>
  <si>
    <t xml:space="preserve">Rarity System (Common→Legendary)</t>
  </si>
  <si>
    <t xml:space="preserve">High</t>
  </si>
  <si>
    <t xml:space="preserve">3-4 weeks</t>
  </si>
  <si>
    <t xml:space="preserve">AI-determined rarity based on vehicle scarcity. Drives collection FOMO</t>
  </si>
  <si>
    <t xml:space="preserve">Daily/Weekly Challenges</t>
  </si>
  <si>
    <t xml:space="preserve">'Capture 3 red cars' → bonus coins. Drives DAU and session length</t>
  </si>
  <si>
    <t xml:space="preserve">Card Trading Between Users</t>
  </si>
  <si>
    <t xml:space="preserve">3 weeks</t>
  </si>
  <si>
    <t xml:space="preserve">Direct P2P trading with coin fee. Social engagement loop</t>
  </si>
  <si>
    <t xml:space="preserve">Seasonal Card Sets / Events</t>
  </si>
  <si>
    <t xml:space="preserve">Limited-time holiday/brand sets with exclusive borders. FOMO monetization</t>
  </si>
  <si>
    <t xml:space="preserve">Leaderboards &amp; Rankings</t>
  </si>
  <si>
    <t xml:space="preserve">1.5 weeks</t>
  </si>
  <si>
    <t xml:space="preserve">7/10</t>
  </si>
  <si>
    <t xml:space="preserve">Top collectors, most valuable garages. Social competition driver</t>
  </si>
  <si>
    <t xml:space="preserve">Share to Social Media</t>
  </si>
  <si>
    <t xml:space="preserve">Share card images to Instagram/TikTok with watermark. Free marketing</t>
  </si>
  <si>
    <t xml:space="preserve">Car Meet / Geolocation Events</t>
  </si>
  <si>
    <t xml:space="preserve">4 weeks</t>
  </si>
  <si>
    <t xml:space="preserve">Real-world car meet events with exclusive location-based cards</t>
  </si>
  <si>
    <t xml:space="preserve">PHASE 3: SCALE &amp; DIVERSIFY (6-12 Months)</t>
  </si>
  <si>
    <t xml:space="preserve">Android Port (Flutter/KMP)</t>
  </si>
  <si>
    <t xml:space="preserve">Very High</t>
  </si>
  <si>
    <t xml:space="preserve">3-4 months</t>
  </si>
  <si>
    <t xml:space="preserve">2x addressable market. 72% of global smartphones are Android</t>
  </si>
  <si>
    <t xml:space="preserve">Brand Partnerships</t>
  </si>
  <si>
    <t xml:space="preserve">Ongoing</t>
  </si>
  <si>
    <t xml:space="preserve">Porsche, BMW, Ferrari branded card sets. Sponsorship revenue</t>
  </si>
  <si>
    <t xml:space="preserve">Physical Card Printing</t>
  </si>
  <si>
    <t xml:space="preserve">2 months</t>
  </si>
  <si>
    <t xml:space="preserve">Print-on-demand physical cards from digital collection</t>
  </si>
  <si>
    <t xml:space="preserve">Battle/Competition Mode</t>
  </si>
  <si>
    <t xml:space="preserve">2-3 months</t>
  </si>
  <si>
    <t xml:space="preserve">Card stats battle system. Entry fees paid in coins</t>
  </si>
  <si>
    <t xml:space="preserve">Creator Program</t>
  </si>
  <si>
    <t xml:space="preserve">1 month</t>
  </si>
  <si>
    <t xml:space="preserve">Top creators earn % of trades. Drives content creation</t>
  </si>
  <si>
    <t xml:space="preserve">NFC/Blockchain Authentication</t>
  </si>
  <si>
    <t xml:space="preserve">5/10</t>
  </si>
  <si>
    <t xml:space="preserve">Verify physical↔digital twins. Premium collector feature</t>
  </si>
  <si>
    <t xml:space="preserve">API for Third-Party Integrations</t>
  </si>
  <si>
    <t xml:space="preserve">6/10</t>
  </si>
  <si>
    <t xml:space="preserve">Let car dealers, events integrate with CarCards ecosystem</t>
  </si>
  <si>
    <t xml:space="preserve">COMPETITIVE LANDSCAPE &amp; MARKET POSITIONING</t>
  </si>
  <si>
    <t xml:space="preserve">App/Platform</t>
  </si>
  <si>
    <t xml:space="preserve">Model</t>
  </si>
  <si>
    <t xml:space="preserve">Revenue</t>
  </si>
  <si>
    <t xml:space="preserve">Users</t>
  </si>
  <si>
    <t xml:space="preserve">Car Focus?</t>
  </si>
  <si>
    <t xml:space="preserve">AI ID?</t>
  </si>
  <si>
    <t xml:space="preserve">LiDAR?</t>
  </si>
  <si>
    <t xml:space="preserve">Differentiator</t>
  </si>
  <si>
    <t xml:space="preserve">Pokémon TCG Pocket</t>
  </si>
  <si>
    <t xml:space="preserve">Freemium + Sub</t>
  </si>
  <si>
    <t xml:space="preserve">$1.25B Year 1</t>
  </si>
  <si>
    <t xml:space="preserve">33M MAU</t>
  </si>
  <si>
    <t xml:space="preserve">IP power, pack opening dopamine</t>
  </si>
  <si>
    <t xml:space="preserve">EA Sports FC Mobile</t>
  </si>
  <si>
    <t xml:space="preserve">Freemium + IAP</t>
  </si>
  <si>
    <t xml:space="preserve">$500M+/yr</t>
  </si>
  <si>
    <t xml:space="preserve">200M+ DL</t>
  </si>
  <si>
    <t xml:space="preserve">Licensed players, FUT card market</t>
  </si>
  <si>
    <t xml:space="preserve">Topps Collect!</t>
  </si>
  <si>
    <t xml:space="preserve">~$50M/yr</t>
  </si>
  <si>
    <t xml:space="preserve">~2M MAU</t>
  </si>
  <si>
    <t xml:space="preserve">Physical→digital bridge</t>
  </si>
  <si>
    <t xml:space="preserve">CoPilot (car ID)</t>
  </si>
  <si>
    <t xml:space="preserve">Freemium</t>
  </si>
  <si>
    <t xml:space="preserve">&lt;$1M/yr</t>
  </si>
  <si>
    <t xml:space="preserve">~100K</t>
  </si>
  <si>
    <t xml:space="preserve">Car identification only, no collecting</t>
  </si>
  <si>
    <t xml:space="preserve">Carspotter</t>
  </si>
  <si>
    <t xml:space="preserve">Free/Ads</t>
  </si>
  <si>
    <t xml:space="preserve">&lt;$100K/yr</t>
  </si>
  <si>
    <t xml:space="preserve">~50K</t>
  </si>
  <si>
    <t xml:space="preserve">Partial</t>
  </si>
  <si>
    <t xml:space="preserve">Basic car spotting log</t>
  </si>
  <si>
    <t xml:space="preserve">CarCards (YOU)</t>
  </si>
  <si>
    <t xml:space="preserve">Free (no rev)</t>
  </si>
  <si>
    <t xml:space="preserve">0 (pre-launch)</t>
  </si>
  <si>
    <t xml:space="preserve">YES ✅</t>
  </si>
  <si>
    <t xml:space="preserve">ONLY app combining all three</t>
  </si>
  <si>
    <t xml:space="preserve">CARCARD'S COMPETITIVE MOAT</t>
  </si>
  <si>
    <t xml:space="preserve">LiDAR Anti-Cheat</t>
  </si>
  <si>
    <t xml:space="preserve">Screen detection prevents users from photographing screens — ensures authentic real-world captures. No competitor has this.</t>
  </si>
  <si>
    <t xml:space="preserve">Gemini-powered automatic make/model/year/specs identification creates a frictionless capture experience.</t>
  </si>
  <si>
    <t xml:space="preserve">Triple Card System</t>
  </si>
  <si>
    <t xml:space="preserve">Vehicle + Driver + Location cards create a richer collecting ecosystem than any single-type competitor.</t>
  </si>
  <si>
    <t xml:space="preserve">Real Photo Authenticity</t>
  </si>
  <si>
    <t xml:space="preserve">RAW capture quality preserves zoom/crop fidelity. Physical → digital bridge that no pure-digital card game offers.</t>
  </si>
  <si>
    <t xml:space="preserve">Car Enthusiast Community</t>
  </si>
  <si>
    <t xml:space="preserve">Purpose-built for car culture. Generic card games can't replicate the emotional connection of photographing real vehicles.</t>
  </si>
  <si>
    <t xml:space="preserve">Network Effects</t>
  </si>
  <si>
    <t xml:space="preserve">Marketplace trading creates lock-in. More users = more cards = more valuable marketplace = harder to leave.</t>
  </si>
  <si>
    <t xml:space="preserve">UNIT ECONOMICS — PER-USER PROFITABILITY</t>
  </si>
  <si>
    <t xml:space="preserve">Conservative</t>
  </si>
  <si>
    <t xml:space="preserve">Aggressive</t>
  </si>
  <si>
    <t xml:space="preserve">Benchmark</t>
  </si>
  <si>
    <t xml:space="preserve">Cost Per Install (CPI)</t>
  </si>
  <si>
    <t xml:space="preserve">$0 (organic)</t>
  </si>
  <si>
    <t xml:space="preserve">$2.50</t>
  </si>
  <si>
    <t xml:space="preserve">$3.50</t>
  </si>
  <si>
    <t xml:space="preserve">iOS gaming avg: $3.50-$5.00</t>
  </si>
  <si>
    <t xml:space="preserve">Monthly ARPU (all users)</t>
  </si>
  <si>
    <t xml:space="preserve">$0.15</t>
  </si>
  <si>
    <t xml:space="preserve">$0.60</t>
  </si>
  <si>
    <t xml:space="preserve">$1.20</t>
  </si>
  <si>
    <t xml:space="preserve">Gaming avg: $3.74; niche: $1-2</t>
  </si>
  <si>
    <t xml:space="preserve">Monthly ARPPU (paying users)</t>
  </si>
  <si>
    <t xml:space="preserve">$7.99</t>
  </si>
  <si>
    <t xml:space="preserve">$12.99</t>
  </si>
  <si>
    <t xml:space="preserve">Card games: $5-$15</t>
  </si>
  <si>
    <t xml:space="preserve">Freemium avg: 2-5%</t>
  </si>
  <si>
    <t xml:space="preserve">D1 Retention</t>
  </si>
  <si>
    <t xml:space="preserve">40%</t>
  </si>
  <si>
    <t xml:space="preserve">50%</t>
  </si>
  <si>
    <t xml:space="preserve">55%</t>
  </si>
  <si>
    <t xml:space="preserve">Gaming avg: 25-35%</t>
  </si>
  <si>
    <t xml:space="preserve">D7 Retention</t>
  </si>
  <si>
    <t xml:space="preserve">20%</t>
  </si>
  <si>
    <t xml:space="preserve">28%</t>
  </si>
  <si>
    <t xml:space="preserve">32%</t>
  </si>
  <si>
    <t xml:space="preserve">Gaming avg: 10-15%</t>
  </si>
  <si>
    <t xml:space="preserve">D30 Retention</t>
  </si>
  <si>
    <t xml:space="preserve">10%</t>
  </si>
  <si>
    <t xml:space="preserve">18%</t>
  </si>
  <si>
    <t xml:space="preserve">22%</t>
  </si>
  <si>
    <t xml:space="preserve">Gaming avg: 5-8%</t>
  </si>
  <si>
    <t xml:space="preserve">Avg. Subscription Length</t>
  </si>
  <si>
    <t xml:space="preserve">3 months</t>
  </si>
  <si>
    <t xml:space="preserve">6 months</t>
  </si>
  <si>
    <t xml:space="preserve">12 months</t>
  </si>
  <si>
    <t xml:space="preserve">iOS avg: 4-6 months</t>
  </si>
  <si>
    <t xml:space="preserve">Customer LTV (12 month)</t>
  </si>
  <si>
    <t xml:space="preserve">$5.40</t>
  </si>
  <si>
    <t xml:space="preserve">$43.20</t>
  </si>
  <si>
    <t xml:space="preserve">$124.80</t>
  </si>
  <si>
    <t xml:space="preserve">Top card games: $50-200</t>
  </si>
  <si>
    <t xml:space="preserve">LTV:CPI Ratio</t>
  </si>
  <si>
    <t xml:space="preserve">∞ (organic)</t>
  </si>
  <si>
    <t xml:space="preserve">17.3:1</t>
  </si>
  <si>
    <t xml:space="preserve">35.7:1</t>
  </si>
  <si>
    <t xml:space="preserve">Healthy: &gt;3:1</t>
  </si>
  <si>
    <t xml:space="preserve">Payback Period</t>
  </si>
  <si>
    <t xml:space="preserve">Immediate</t>
  </si>
  <si>
    <t xml:space="preserve">~1 month</t>
  </si>
  <si>
    <t xml:space="preserve">Target: &lt;3 months</t>
  </si>
  <si>
    <t xml:space="preserve">Gross Margin</t>
  </si>
  <si>
    <t xml:space="preserve">85%</t>
  </si>
  <si>
    <t xml:space="preserve">80%</t>
  </si>
  <si>
    <t xml:space="preserve">Digital goods: 80-90%</t>
  </si>
  <si>
    <t xml:space="preserve">Net Margin (after all costs)</t>
  </si>
  <si>
    <t xml:space="preserve">45%</t>
  </si>
  <si>
    <t xml:space="preserve">Top apps: 30-60%</t>
  </si>
  <si>
    <t xml:space="preserve">Break-Even MAU</t>
  </si>
  <si>
    <t xml:space="preserve">~300</t>
  </si>
  <si>
    <t xml:space="preserve">~1,500</t>
  </si>
  <si>
    <t xml:space="preserve">~5,000</t>
  </si>
  <si>
    <t xml:space="preserve">At current cost structure</t>
  </si>
</sst>
</file>

<file path=xl/styles.xml><?xml version="1.0" encoding="utf-8"?>
<styleSheet xmlns="http://schemas.openxmlformats.org/spreadsheetml/2006/main">
  <numFmts count="6">
    <numFmt numFmtId="164" formatCode="General"/>
    <numFmt numFmtId="165" formatCode="\$#,##0.00"/>
    <numFmt numFmtId="166" formatCode="#,##0"/>
    <numFmt numFmtId="167" formatCode="0.0%"/>
    <numFmt numFmtId="168" formatCode="\$#,##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1"/>
      <color rgb="FFFFFFFF"/>
      <name val="Arial"/>
      <family val="0"/>
      <charset val="1"/>
    </font>
    <font>
      <b val="true"/>
      <sz val="12"/>
      <color rgb="FFFFFFFF"/>
      <name val="Arial"/>
      <family val="0"/>
      <charset val="1"/>
    </font>
    <font>
      <b val="true"/>
      <sz val="11"/>
      <color rgb="FF000000"/>
      <name val="Arial"/>
      <family val="0"/>
      <charset val="1"/>
    </font>
    <font>
      <sz val="11"/>
      <color rgb="FF000000"/>
      <name val="Arial"/>
      <family val="0"/>
      <charset val="1"/>
    </font>
    <font>
      <b val="true"/>
      <sz val="11"/>
      <color rgb="FFFF0000"/>
      <name val="Arial"/>
      <family val="0"/>
      <charset val="1"/>
    </font>
    <font>
      <b val="true"/>
      <sz val="11"/>
      <color rgb="FFFFFFFF"/>
      <name val="Arial"/>
      <family val="0"/>
      <charset val="1"/>
    </font>
    <font>
      <sz val="11"/>
      <color rgb="FF0000FF"/>
      <name val="Arial"/>
      <family val="0"/>
      <charset val="1"/>
    </font>
    <font>
      <b val="true"/>
      <sz val="11"/>
      <color rgb="FF006400"/>
      <name val="Arial"/>
      <family val="0"/>
      <charset val="1"/>
    </font>
  </fonts>
  <fills count="26">
    <fill>
      <patternFill patternType="none"/>
    </fill>
    <fill>
      <patternFill patternType="gray125"/>
    </fill>
    <fill>
      <patternFill patternType="solid">
        <fgColor rgb="FF1A1A2E"/>
        <bgColor rgb="FF16213E"/>
      </patternFill>
    </fill>
    <fill>
      <patternFill patternType="solid">
        <fgColor rgb="FF16213E"/>
        <bgColor rgb="FF1A1A2E"/>
      </patternFill>
    </fill>
    <fill>
      <patternFill patternType="solid">
        <fgColor rgb="FF0F3460"/>
        <bgColor rgb="FF16213E"/>
      </patternFill>
    </fill>
    <fill>
      <patternFill patternType="solid">
        <fgColor rgb="FFF5F5F5"/>
        <bgColor rgb="FFECEFF1"/>
      </patternFill>
    </fill>
    <fill>
      <patternFill patternType="solid">
        <fgColor rgb="FFFFFFFF"/>
        <bgColor rgb="FFF5F5F5"/>
      </patternFill>
    </fill>
    <fill>
      <patternFill patternType="solid">
        <fgColor rgb="FFFFEBEE"/>
        <bgColor rgb="FFFFF3E0"/>
      </patternFill>
    </fill>
    <fill>
      <patternFill patternType="solid">
        <fgColor rgb="FFFFF3E0"/>
        <bgColor rgb="FFFFF8E1"/>
      </patternFill>
    </fill>
    <fill>
      <patternFill patternType="solid">
        <fgColor rgb="FFFFF9C4"/>
        <bgColor rgb="FFFFF8E1"/>
      </patternFill>
    </fill>
    <fill>
      <patternFill patternType="solid">
        <fgColor rgb="FFE94560"/>
        <bgColor rgb="FFE65100"/>
      </patternFill>
    </fill>
    <fill>
      <patternFill patternType="solid">
        <fgColor rgb="FFE8F5E9"/>
        <bgColor rgb="FFECEFF1"/>
      </patternFill>
    </fill>
    <fill>
      <patternFill patternType="solid">
        <fgColor rgb="FFFF8A65"/>
        <bgColor rgb="FFF57F17"/>
      </patternFill>
    </fill>
    <fill>
      <patternFill patternType="solid">
        <fgColor rgb="FF42A5F5"/>
        <bgColor rgb="FF00BCD4"/>
      </patternFill>
    </fill>
    <fill>
      <patternFill patternType="solid">
        <fgColor rgb="FF66BB6A"/>
        <bgColor rgb="FF99CC00"/>
      </patternFill>
    </fill>
    <fill>
      <patternFill patternType="solid">
        <fgColor rgb="FFFFF8E1"/>
        <bgColor rgb="FFFFF3E0"/>
      </patternFill>
    </fill>
    <fill>
      <patternFill patternType="solid">
        <fgColor rgb="FFEFEBE9"/>
        <bgColor rgb="FFECEFF1"/>
      </patternFill>
    </fill>
    <fill>
      <patternFill patternType="solid">
        <fgColor rgb="FFECEFF1"/>
        <bgColor rgb="FFEFEBE9"/>
      </patternFill>
    </fill>
    <fill>
      <patternFill patternType="solid">
        <fgColor rgb="FFE8EAF6"/>
        <bgColor rgb="FFECEFF1"/>
      </patternFill>
    </fill>
    <fill>
      <patternFill patternType="solid">
        <fgColor rgb="FF7B1FA2"/>
        <bgColor rgb="FF9C27B0"/>
      </patternFill>
    </fill>
    <fill>
      <patternFill patternType="solid">
        <fgColor rgb="FFF57F17"/>
        <bgColor rgb="FFFF8F00"/>
      </patternFill>
    </fill>
    <fill>
      <patternFill patternType="solid">
        <fgColor rgb="FF1565C0"/>
        <bgColor rgb="FF3366FF"/>
      </patternFill>
    </fill>
    <fill>
      <patternFill patternType="solid">
        <fgColor rgb="FF2E7D32"/>
        <bgColor rgb="FF1B5E20"/>
      </patternFill>
    </fill>
    <fill>
      <patternFill patternType="solid">
        <fgColor rgb="FFC62828"/>
        <bgColor rgb="FFE94560"/>
      </patternFill>
    </fill>
    <fill>
      <patternFill patternType="solid">
        <fgColor rgb="FFE65100"/>
        <bgColor rgb="FFFF6D00"/>
      </patternFill>
    </fill>
    <fill>
      <patternFill patternType="solid">
        <fgColor rgb="FF1B5E20"/>
        <bgColor rgb="FF006400"/>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general" vertical="bottom" textRotation="0" wrapText="false" indent="0" shrinkToFit="false"/>
      <protection locked="true" hidden="false"/>
    </xf>
    <xf numFmtId="164" fontId="8" fillId="6" borderId="2"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4" fontId="8" fillId="7" borderId="2" xfId="0" applyFont="true" applyBorder="true" applyAlignment="true" applyProtection="false">
      <alignment horizontal="general" vertical="bottom" textRotation="0" wrapText="false" indent="0" shrinkToFit="false"/>
      <protection locked="true" hidden="false"/>
    </xf>
    <xf numFmtId="164" fontId="9" fillId="7" borderId="2" xfId="0" applyFont="true" applyBorder="true" applyAlignment="true" applyProtection="false">
      <alignment horizontal="general" vertical="bottom" textRotation="0" wrapText="fals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9" fillId="8" borderId="0"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5" fontId="11" fillId="9"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5" fontId="10" fillId="10" borderId="0" xfId="0" applyFont="true" applyBorder="false" applyAlignment="true" applyProtection="false">
      <alignment horizontal="general" vertical="bottom" textRotation="0" wrapText="false" indent="0" shrinkToFit="false"/>
      <protection locked="true" hidden="false"/>
    </xf>
    <xf numFmtId="164" fontId="7" fillId="11" borderId="1" xfId="0" applyFont="true" applyBorder="true" applyAlignment="true" applyProtection="false">
      <alignment horizontal="general" vertical="bottom" textRotation="0" wrapText="false" indent="0" shrinkToFit="false"/>
      <protection locked="true" hidden="false"/>
    </xf>
    <xf numFmtId="165" fontId="7" fillId="11" borderId="1" xfId="0" applyFont="true" applyBorder="true" applyAlignment="true" applyProtection="false">
      <alignment horizontal="general" vertical="bottom" textRotation="0" wrapText="false" indent="0" shrinkToFit="false"/>
      <protection locked="true" hidden="false"/>
    </xf>
    <xf numFmtId="164" fontId="8" fillId="11" borderId="1" xfId="0" applyFont="true" applyBorder="true" applyAlignment="tru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4" fontId="11" fillId="9" borderId="2" xfId="0" applyFont="true" applyBorder="true" applyAlignment="true" applyProtection="false">
      <alignment horizontal="general" vertical="bottom" textRotation="0" wrapText="false" indent="0" shrinkToFit="false"/>
      <protection locked="true" hidden="false"/>
    </xf>
    <xf numFmtId="164" fontId="6" fillId="12" borderId="0" xfId="0" applyFont="true" applyBorder="true" applyAlignment="true" applyProtection="false">
      <alignment horizontal="general" vertical="bottom" textRotation="0" wrapText="false" indent="0" shrinkToFit="false"/>
      <protection locked="true" hidden="false"/>
    </xf>
    <xf numFmtId="166" fontId="11" fillId="9" borderId="1" xfId="0" applyFont="true" applyBorder="true" applyAlignment="true" applyProtection="false">
      <alignment horizontal="right" vertical="center" textRotation="0" wrapText="false" indent="0" shrinkToFit="false"/>
      <protection locked="true" hidden="false"/>
    </xf>
    <xf numFmtId="167" fontId="11" fillId="9" borderId="1" xfId="0" applyFont="true" applyBorder="true" applyAlignment="true" applyProtection="false">
      <alignment horizontal="right" vertical="center" textRotation="0" wrapText="false" indent="0" shrinkToFit="false"/>
      <protection locked="true" hidden="false"/>
    </xf>
    <xf numFmtId="166" fontId="8" fillId="6" borderId="1" xfId="0" applyFont="true" applyBorder="true" applyAlignment="true" applyProtection="false">
      <alignment horizontal="right" vertical="center" textRotation="0" wrapText="false" indent="0" shrinkToFit="false"/>
      <protection locked="true" hidden="false"/>
    </xf>
    <xf numFmtId="168" fontId="7" fillId="6" borderId="1" xfId="0" applyFont="true" applyBorder="true" applyAlignment="true" applyProtection="false">
      <alignment horizontal="right" vertical="center" textRotation="0" wrapText="false" indent="0" shrinkToFit="false"/>
      <protection locked="true" hidden="false"/>
    </xf>
    <xf numFmtId="168" fontId="8" fillId="6" borderId="1" xfId="0" applyFont="true" applyBorder="true" applyAlignment="true" applyProtection="false">
      <alignment horizontal="right" vertical="center" textRotation="0" wrapText="false" indent="0" shrinkToFit="false"/>
      <protection locked="true" hidden="false"/>
    </xf>
    <xf numFmtId="168" fontId="7" fillId="11" borderId="1" xfId="0" applyFont="true" applyBorder="true" applyAlignment="true" applyProtection="false">
      <alignment horizontal="right" vertical="center" textRotation="0" wrapText="false" indent="0" shrinkToFit="false"/>
      <protection locked="true" hidden="false"/>
    </xf>
    <xf numFmtId="168" fontId="11" fillId="9" borderId="1" xfId="0" applyFont="true" applyBorder="true" applyAlignment="true" applyProtection="false">
      <alignment horizontal="right" vertical="center" textRotation="0" wrapText="false" indent="0" shrinkToFit="false"/>
      <protection locked="true" hidden="false"/>
    </xf>
    <xf numFmtId="164" fontId="6" fillId="13" borderId="0" xfId="0" applyFont="true" applyBorder="true" applyAlignment="true" applyProtection="false">
      <alignment horizontal="general" vertical="bottom" textRotation="0" wrapText="false" indent="0" shrinkToFit="false"/>
      <protection locked="true" hidden="false"/>
    </xf>
    <xf numFmtId="164" fontId="6" fillId="14" borderId="0" xfId="0" applyFont="true" applyBorder="true" applyAlignment="tru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7" fillId="15"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0" fillId="9" borderId="1" xfId="0" applyFont="true" applyBorder="true" applyAlignment="true" applyProtection="false">
      <alignment horizontal="center" vertical="center" textRotation="0" wrapText="false" indent="0" shrinkToFit="false"/>
      <protection locked="true" hidden="false"/>
    </xf>
    <xf numFmtId="164" fontId="0" fillId="16" borderId="1" xfId="0" applyFont="true" applyBorder="true" applyAlignment="true" applyProtection="false">
      <alignment horizontal="center" vertical="center" textRotation="0" wrapText="false" indent="0" shrinkToFit="false"/>
      <protection locked="true" hidden="false"/>
    </xf>
    <xf numFmtId="164" fontId="0" fillId="17" borderId="1" xfId="0" applyFont="true" applyBorder="true" applyAlignment="true" applyProtection="false">
      <alignment horizontal="center" vertical="center" textRotation="0" wrapText="false" indent="0" shrinkToFit="false"/>
      <protection locked="true" hidden="false"/>
    </xf>
    <xf numFmtId="164" fontId="0" fillId="15" borderId="1" xfId="0" applyFont="true" applyBorder="true" applyAlignment="true" applyProtection="false">
      <alignment horizontal="center" vertical="center" textRotation="0" wrapText="false" indent="0" shrinkToFit="false"/>
      <protection locked="true" hidden="false"/>
    </xf>
    <xf numFmtId="164" fontId="0" fillId="18" borderId="1" xfId="0" applyFont="true" applyBorder="true" applyAlignment="true" applyProtection="false">
      <alignment horizontal="center" vertical="center" textRotation="0" wrapText="false" indent="0" shrinkToFit="false"/>
      <protection locked="true" hidden="false"/>
    </xf>
    <xf numFmtId="164" fontId="0" fillId="11"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1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9" fontId="8" fillId="6"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true" applyProtection="false">
      <alignment horizontal="right" vertical="center" textRotation="0" wrapText="false" indent="0" shrinkToFit="false"/>
      <protection locked="true" hidden="false"/>
    </xf>
    <xf numFmtId="164" fontId="0" fillId="6" borderId="1" xfId="0" applyFont="false" applyBorder="true" applyAlignment="true" applyProtection="false">
      <alignment horizontal="right" vertical="center" textRotation="0" wrapText="false" indent="0" shrinkToFit="false"/>
      <protection locked="true" hidden="false"/>
    </xf>
    <xf numFmtId="164" fontId="8" fillId="15" borderId="1" xfId="0" applyFont="true" applyBorder="true" applyAlignment="false" applyProtection="false">
      <alignment horizontal="general" vertical="bottom" textRotation="0" wrapText="false" indent="0" shrinkToFit="false"/>
      <protection locked="true" hidden="false"/>
    </xf>
    <xf numFmtId="169" fontId="11" fillId="9" borderId="1" xfId="0" applyFont="true" applyBorder="true" applyAlignment="true" applyProtection="false">
      <alignment horizontal="right" vertical="center" textRotation="0" wrapText="false" indent="0" shrinkToFit="false"/>
      <protection locked="true" hidden="false"/>
    </xf>
    <xf numFmtId="164" fontId="7" fillId="11" borderId="1" xfId="0" applyFont="true" applyBorder="true" applyAlignment="false" applyProtection="false">
      <alignment horizontal="general" vertical="bottom" textRotation="0" wrapText="false" indent="0" shrinkToFit="false"/>
      <protection locked="true" hidden="false"/>
    </xf>
    <xf numFmtId="169" fontId="12" fillId="11" borderId="1" xfId="0" applyFont="true" applyBorder="true" applyAlignment="true" applyProtection="false">
      <alignment horizontal="right" vertical="center" textRotation="0" wrapText="false" indent="0" shrinkToFit="false"/>
      <protection locked="true" hidden="false"/>
    </xf>
    <xf numFmtId="167" fontId="7" fillId="5" borderId="1" xfId="0" applyFont="true" applyBorder="true" applyAlignment="true" applyProtection="false">
      <alignment horizontal="right" vertical="center" textRotation="0" wrapText="false" indent="0" shrinkToFit="false"/>
      <protection locked="true" hidden="false"/>
    </xf>
    <xf numFmtId="164" fontId="7" fillId="15" borderId="1" xfId="0" applyFont="true" applyBorder="true" applyAlignment="false" applyProtection="false">
      <alignment horizontal="general" vertical="bottom" textRotation="0" wrapText="fals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4" fontId="6" fillId="19" borderId="0"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6" fillId="20" borderId="0" xfId="0" applyFont="true" applyBorder="true" applyAlignment="true" applyProtection="false">
      <alignment horizontal="general" vertical="bottom" textRotation="0" wrapText="false" indent="0" shrinkToFit="false"/>
      <protection locked="true" hidden="false"/>
    </xf>
    <xf numFmtId="164" fontId="6" fillId="21" borderId="0" xfId="0" applyFont="true" applyBorder="true" applyAlignment="true" applyProtection="false">
      <alignment horizontal="general" vertical="bottom" textRotation="0" wrapText="false" indent="0" shrinkToFit="false"/>
      <protection locked="true" hidden="false"/>
    </xf>
    <xf numFmtId="164" fontId="6" fillId="22" borderId="0" xfId="0" applyFont="true" applyBorder="true" applyAlignment="true" applyProtection="false">
      <alignment horizontal="general" vertical="bottom" textRotation="0" wrapText="false" indent="0" shrinkToFit="false"/>
      <protection locked="true" hidden="false"/>
    </xf>
    <xf numFmtId="164" fontId="6" fillId="23" borderId="0" xfId="0" applyFont="true" applyBorder="true" applyAlignment="true" applyProtection="false">
      <alignment horizontal="general" vertical="bottom" textRotation="0" wrapText="false" indent="0" shrinkToFit="false"/>
      <protection locked="true" hidden="false"/>
    </xf>
    <xf numFmtId="164" fontId="6" fillId="24" borderId="0" xfId="0" applyFont="true" applyBorder="true" applyAlignment="true" applyProtection="false">
      <alignment horizontal="general" vertical="bottom" textRotation="0" wrapText="false" indent="0" shrinkToFit="false"/>
      <protection locked="true" hidden="false"/>
    </xf>
    <xf numFmtId="164" fontId="6" fillId="25" borderId="0"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C853"/>
      <rgbColor rgb="FF0000FF"/>
      <rgbColor rgb="FFFFF3E0"/>
      <rgbColor rgb="FFFF00FF"/>
      <rgbColor rgb="FF00FFFF"/>
      <rgbColor rgb="FF800000"/>
      <rgbColor rgb="FF006400"/>
      <rgbColor rgb="FF000080"/>
      <rgbColor rgb="FFE65100"/>
      <rgbColor rgb="FF7B1FA2"/>
      <rgbColor rgb="FF008080"/>
      <rgbColor rgb="FFCCCCCC"/>
      <rgbColor rgb="FF808080"/>
      <rgbColor rgb="FF9999FF"/>
      <rgbColor rgb="FF9C27B0"/>
      <rgbColor rgb="FFFFF9C4"/>
      <rgbColor rgb="FFE8F5E9"/>
      <rgbColor rgb="FF660066"/>
      <rgbColor rgb="FFFF8A65"/>
      <rgbColor rgb="FF1565C0"/>
      <rgbColor rgb="FFEFEBE9"/>
      <rgbColor rgb="FF000080"/>
      <rgbColor rgb="FFFF00FF"/>
      <rgbColor rgb="FFFFFF00"/>
      <rgbColor rgb="FF00FFFF"/>
      <rgbColor rgb="FF800080"/>
      <rgbColor rgb="FF800000"/>
      <rgbColor rgb="FF008080"/>
      <rgbColor rgb="FF0000FF"/>
      <rgbColor rgb="FF00BCD4"/>
      <rgbColor rgb="FFECEFF1"/>
      <rgbColor rgb="FFE8EAF6"/>
      <rgbColor rgb="FFFFF8E1"/>
      <rgbColor rgb="FFF5F5F5"/>
      <rgbColor rgb="FFF57F17"/>
      <rgbColor rgb="FFCC99FF"/>
      <rgbColor rgb="FFFFEBEE"/>
      <rgbColor rgb="FF3366FF"/>
      <rgbColor rgb="FF42A5F5"/>
      <rgbColor rgb="FF99CC00"/>
      <rgbColor rgb="FFFFD600"/>
      <rgbColor rgb="FFFF8F00"/>
      <rgbColor rgb="FFFF6D00"/>
      <rgbColor rgb="FF666699"/>
      <rgbColor rgb="FF66BB6A"/>
      <rgbColor rgb="FF0F3460"/>
      <rgbColor rgb="FF2E7D32"/>
      <rgbColor rgb="FF1B5E20"/>
      <rgbColor rgb="FF1A1A2E"/>
      <rgbColor rgb="FFC62828"/>
      <rgbColor rgb="FFE94560"/>
      <rgbColor rgb="FF333399"/>
      <rgbColor rgb="FF162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1:H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9" min="3" style="1" width="18"/>
  </cols>
  <sheetData>
    <row r="1" customFormat="false" ht="21.75"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4" customFormat="false" ht="15" hidden="false" customHeight="true" outlineLevel="0" collapsed="false">
      <c r="A4" s="4" t="s">
        <v>2</v>
      </c>
      <c r="B4" s="4"/>
      <c r="C4" s="4"/>
      <c r="D4" s="4"/>
      <c r="E4" s="4"/>
      <c r="F4" s="4"/>
      <c r="G4" s="4"/>
      <c r="H4" s="4"/>
    </row>
    <row r="5" customFormat="false" ht="15" hidden="false" customHeight="true" outlineLevel="0" collapsed="false">
      <c r="A5" s="5" t="s">
        <v>3</v>
      </c>
      <c r="C5" s="5" t="s">
        <v>4</v>
      </c>
      <c r="D5" s="5"/>
      <c r="E5" s="5" t="s">
        <v>5</v>
      </c>
      <c r="F5" s="5"/>
      <c r="G5" s="5" t="s">
        <v>6</v>
      </c>
      <c r="H5" s="5"/>
    </row>
    <row r="6" customFormat="false" ht="15" hidden="false" customHeight="true" outlineLevel="0" collapsed="false">
      <c r="A6" s="6" t="s">
        <v>7</v>
      </c>
      <c r="C6" s="7" t="s">
        <v>8</v>
      </c>
      <c r="D6" s="7"/>
      <c r="E6" s="7" t="s">
        <v>9</v>
      </c>
      <c r="F6" s="7"/>
      <c r="G6" s="8" t="s">
        <v>10</v>
      </c>
      <c r="H6" s="8"/>
    </row>
    <row r="7" customFormat="false" ht="15" hidden="false" customHeight="true" outlineLevel="0" collapsed="false">
      <c r="A7" s="6" t="s">
        <v>11</v>
      </c>
      <c r="C7" s="7" t="s">
        <v>8</v>
      </c>
      <c r="D7" s="7"/>
      <c r="E7" s="7" t="s">
        <v>9</v>
      </c>
      <c r="F7" s="7"/>
      <c r="G7" s="8" t="s">
        <v>12</v>
      </c>
      <c r="H7" s="8"/>
    </row>
    <row r="8" customFormat="false" ht="15" hidden="false" customHeight="true" outlineLevel="0" collapsed="false">
      <c r="A8" s="6" t="s">
        <v>13</v>
      </c>
      <c r="C8" s="7" t="s">
        <v>8</v>
      </c>
      <c r="D8" s="7"/>
      <c r="E8" s="7" t="s">
        <v>9</v>
      </c>
      <c r="F8" s="7"/>
      <c r="G8" s="8" t="s">
        <v>14</v>
      </c>
      <c r="H8" s="8"/>
    </row>
    <row r="9" customFormat="false" ht="15" hidden="false" customHeight="true" outlineLevel="0" collapsed="false">
      <c r="A9" s="6" t="s">
        <v>15</v>
      </c>
      <c r="C9" s="7" t="s">
        <v>8</v>
      </c>
      <c r="D9" s="7"/>
      <c r="E9" s="7" t="s">
        <v>9</v>
      </c>
      <c r="F9" s="7"/>
      <c r="G9" s="8" t="s">
        <v>16</v>
      </c>
      <c r="H9" s="8"/>
    </row>
    <row r="10" customFormat="false" ht="15" hidden="false" customHeight="true" outlineLevel="0" collapsed="false">
      <c r="A10" s="6" t="s">
        <v>17</v>
      </c>
      <c r="C10" s="7" t="s">
        <v>8</v>
      </c>
      <c r="D10" s="7"/>
      <c r="E10" s="7" t="s">
        <v>18</v>
      </c>
      <c r="F10" s="7"/>
      <c r="G10" s="8" t="s">
        <v>19</v>
      </c>
      <c r="H10" s="8"/>
    </row>
    <row r="11" customFormat="false" ht="15" hidden="false" customHeight="true" outlineLevel="0" collapsed="false">
      <c r="A11" s="6" t="s">
        <v>20</v>
      </c>
      <c r="C11" s="7" t="s">
        <v>8</v>
      </c>
      <c r="D11" s="7"/>
      <c r="E11" s="7" t="s">
        <v>21</v>
      </c>
      <c r="F11" s="7"/>
      <c r="G11" s="8" t="s">
        <v>22</v>
      </c>
      <c r="H11" s="8"/>
    </row>
    <row r="12" customFormat="false" ht="15" hidden="false" customHeight="true" outlineLevel="0" collapsed="false">
      <c r="A12" s="6" t="s">
        <v>23</v>
      </c>
      <c r="C12" s="7" t="s">
        <v>8</v>
      </c>
      <c r="D12" s="7"/>
      <c r="E12" s="7" t="s">
        <v>24</v>
      </c>
      <c r="F12" s="7"/>
      <c r="G12" s="8" t="s">
        <v>25</v>
      </c>
      <c r="H12" s="8"/>
    </row>
    <row r="13" customFormat="false" ht="15" hidden="false" customHeight="true" outlineLevel="0" collapsed="false">
      <c r="A13" s="6" t="s">
        <v>26</v>
      </c>
      <c r="C13" s="7" t="s">
        <v>27</v>
      </c>
      <c r="D13" s="7"/>
      <c r="E13" s="7" t="s">
        <v>28</v>
      </c>
      <c r="F13" s="7"/>
      <c r="G13" s="8" t="s">
        <v>29</v>
      </c>
      <c r="H13" s="8"/>
    </row>
    <row r="14" customFormat="false" ht="15" hidden="false" customHeight="true" outlineLevel="0" collapsed="false">
      <c r="A14" s="9" t="s">
        <v>30</v>
      </c>
      <c r="C14" s="10" t="s">
        <v>31</v>
      </c>
      <c r="D14" s="10"/>
      <c r="E14" s="11" t="s">
        <v>32</v>
      </c>
      <c r="F14" s="11"/>
      <c r="G14" s="12" t="s">
        <v>33</v>
      </c>
      <c r="H14" s="12"/>
    </row>
    <row r="15" customFormat="false" ht="15" hidden="false" customHeight="true" outlineLevel="0" collapsed="false">
      <c r="A15" s="9" t="s">
        <v>34</v>
      </c>
      <c r="C15" s="10" t="s">
        <v>31</v>
      </c>
      <c r="D15" s="10"/>
      <c r="E15" s="11" t="s">
        <v>35</v>
      </c>
      <c r="F15" s="11"/>
      <c r="G15" s="12" t="s">
        <v>36</v>
      </c>
      <c r="H15" s="12"/>
    </row>
    <row r="16" customFormat="false" ht="15" hidden="false" customHeight="true" outlineLevel="0" collapsed="false">
      <c r="A16" s="9" t="s">
        <v>37</v>
      </c>
      <c r="C16" s="10" t="s">
        <v>31</v>
      </c>
      <c r="D16" s="10"/>
      <c r="E16" s="11" t="s">
        <v>38</v>
      </c>
      <c r="F16" s="11"/>
      <c r="G16" s="12" t="s">
        <v>39</v>
      </c>
      <c r="H16" s="12"/>
    </row>
    <row r="17" customFormat="false" ht="15" hidden="false" customHeight="true" outlineLevel="0" collapsed="false">
      <c r="A17" s="6" t="s">
        <v>40</v>
      </c>
      <c r="C17" s="7" t="s">
        <v>31</v>
      </c>
      <c r="D17" s="7"/>
      <c r="E17" s="7" t="s">
        <v>41</v>
      </c>
      <c r="F17" s="7"/>
      <c r="G17" s="8" t="s">
        <v>42</v>
      </c>
      <c r="H17" s="8"/>
    </row>
    <row r="19" customFormat="false" ht="45" hidden="false" customHeight="true" outlineLevel="0" collapsed="false">
      <c r="A19" s="13" t="s">
        <v>43</v>
      </c>
      <c r="B19" s="13"/>
      <c r="C19" s="13"/>
      <c r="D19" s="13"/>
      <c r="E19" s="13"/>
      <c r="F19" s="13"/>
      <c r="G19" s="13"/>
      <c r="H19" s="13"/>
    </row>
  </sheetData>
  <mergeCells count="43">
    <mergeCell ref="A1:H1"/>
    <mergeCell ref="A2:H2"/>
    <mergeCell ref="A4:H4"/>
    <mergeCell ref="C5:D5"/>
    <mergeCell ref="E5:F5"/>
    <mergeCell ref="G5:H5"/>
    <mergeCell ref="C6:D6"/>
    <mergeCell ref="E6:F6"/>
    <mergeCell ref="G6:H6"/>
    <mergeCell ref="C7:D7"/>
    <mergeCell ref="E7:F7"/>
    <mergeCell ref="G7:H7"/>
    <mergeCell ref="C8:D8"/>
    <mergeCell ref="E8:F8"/>
    <mergeCell ref="G8:H8"/>
    <mergeCell ref="C9:D9"/>
    <mergeCell ref="E9:F9"/>
    <mergeCell ref="G9:H9"/>
    <mergeCell ref="C10:D10"/>
    <mergeCell ref="E10:F10"/>
    <mergeCell ref="G10:H10"/>
    <mergeCell ref="C11:D11"/>
    <mergeCell ref="E11:F11"/>
    <mergeCell ref="G11:H11"/>
    <mergeCell ref="C12:D12"/>
    <mergeCell ref="E12:F12"/>
    <mergeCell ref="G12:H12"/>
    <mergeCell ref="C13:D13"/>
    <mergeCell ref="E13:F13"/>
    <mergeCell ref="G13:H13"/>
    <mergeCell ref="C14:D14"/>
    <mergeCell ref="E14:F14"/>
    <mergeCell ref="G14:H14"/>
    <mergeCell ref="C15:D15"/>
    <mergeCell ref="E15:F15"/>
    <mergeCell ref="G15:H15"/>
    <mergeCell ref="C16:D16"/>
    <mergeCell ref="E16:F16"/>
    <mergeCell ref="G16:H16"/>
    <mergeCell ref="C17:D17"/>
    <mergeCell ref="E17:F17"/>
    <mergeCell ref="G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460"/>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8" min="2" style="1" width="16"/>
  </cols>
  <sheetData>
    <row r="1" customFormat="false" ht="21.75" hidden="false" customHeight="true" outlineLevel="0" collapsed="false">
      <c r="A1" s="2" t="s">
        <v>44</v>
      </c>
      <c r="B1" s="2"/>
      <c r="C1" s="2"/>
      <c r="D1" s="2"/>
      <c r="E1" s="2"/>
      <c r="F1" s="2"/>
      <c r="G1" s="2"/>
      <c r="H1" s="2"/>
    </row>
    <row r="3" customFormat="false" ht="15" hidden="false" customHeight="true" outlineLevel="0" collapsed="false">
      <c r="A3" s="14" t="s">
        <v>45</v>
      </c>
      <c r="B3" s="14" t="s">
        <v>46</v>
      </c>
      <c r="C3" s="14" t="s">
        <v>47</v>
      </c>
      <c r="D3" s="14" t="s">
        <v>48</v>
      </c>
      <c r="E3" s="14" t="s">
        <v>49</v>
      </c>
      <c r="F3" s="14" t="s">
        <v>6</v>
      </c>
      <c r="G3" s="14" t="s">
        <v>50</v>
      </c>
    </row>
    <row r="4" customFormat="false" ht="15" hidden="false" customHeight="true" outlineLevel="0" collapsed="false">
      <c r="A4" s="15" t="s">
        <v>51</v>
      </c>
      <c r="B4" s="16"/>
      <c r="C4" s="16"/>
      <c r="D4" s="16"/>
      <c r="E4" s="16"/>
      <c r="F4" s="16"/>
      <c r="G4" s="16"/>
    </row>
    <row r="5" customFormat="false" ht="15" hidden="false" customHeight="true" outlineLevel="0" collapsed="false">
      <c r="A5" s="17" t="s">
        <v>52</v>
      </c>
      <c r="B5" s="18" t="n">
        <v>8.25</v>
      </c>
      <c r="C5" s="18" t="n">
        <v>8.25</v>
      </c>
      <c r="D5" s="18" t="n">
        <v>8.25</v>
      </c>
      <c r="E5" s="19" t="n">
        <f aca="false">C5*12</f>
        <v>99</v>
      </c>
      <c r="F5" s="17" t="s">
        <v>53</v>
      </c>
      <c r="G5" s="20" t="s">
        <v>54</v>
      </c>
    </row>
    <row r="6" customFormat="false" ht="15" hidden="false" customHeight="true" outlineLevel="0" collapsed="false">
      <c r="A6" s="17" t="s">
        <v>55</v>
      </c>
      <c r="B6" s="18" t="n">
        <v>1</v>
      </c>
      <c r="C6" s="18" t="n">
        <v>1</v>
      </c>
      <c r="D6" s="18" t="n">
        <v>2</v>
      </c>
      <c r="E6" s="19" t="n">
        <f aca="false">C6*12</f>
        <v>12</v>
      </c>
      <c r="F6" s="17" t="s">
        <v>56</v>
      </c>
      <c r="G6" s="20" t="s">
        <v>54</v>
      </c>
    </row>
    <row r="7" customFormat="false" ht="15" hidden="false" customHeight="true" outlineLevel="0" collapsed="false">
      <c r="A7" s="17" t="s">
        <v>57</v>
      </c>
      <c r="B7" s="18" t="n">
        <v>0</v>
      </c>
      <c r="C7" s="18" t="n">
        <v>0</v>
      </c>
      <c r="D7" s="18" t="n">
        <v>0</v>
      </c>
      <c r="E7" s="19" t="n">
        <f aca="false">C7*12</f>
        <v>0</v>
      </c>
      <c r="F7" s="17" t="s">
        <v>58</v>
      </c>
      <c r="G7" s="20" t="s">
        <v>54</v>
      </c>
    </row>
    <row r="9" customFormat="false" ht="15" hidden="false" customHeight="true" outlineLevel="0" collapsed="false">
      <c r="A9" s="15" t="s">
        <v>59</v>
      </c>
      <c r="B9" s="16"/>
      <c r="C9" s="16"/>
      <c r="D9" s="16"/>
      <c r="E9" s="16"/>
      <c r="F9" s="16"/>
      <c r="G9" s="16"/>
    </row>
    <row r="10" customFormat="false" ht="15" hidden="false" customHeight="true" outlineLevel="0" collapsed="false">
      <c r="A10" s="17" t="s">
        <v>60</v>
      </c>
      <c r="B10" s="18" t="n">
        <v>0</v>
      </c>
      <c r="C10" s="18" t="n">
        <v>0</v>
      </c>
      <c r="D10" s="18" t="n">
        <v>0</v>
      </c>
      <c r="E10" s="19" t="n">
        <f aca="false">C10*12</f>
        <v>0</v>
      </c>
      <c r="F10" s="17" t="s">
        <v>61</v>
      </c>
      <c r="G10" s="20" t="s">
        <v>62</v>
      </c>
    </row>
    <row r="11" customFormat="false" ht="15" hidden="false" customHeight="true" outlineLevel="0" collapsed="false">
      <c r="A11" s="17" t="s">
        <v>63</v>
      </c>
      <c r="B11" s="18" t="n">
        <v>0</v>
      </c>
      <c r="C11" s="18" t="n">
        <v>5</v>
      </c>
      <c r="D11" s="18" t="n">
        <v>25</v>
      </c>
      <c r="E11" s="19" t="n">
        <f aca="false">C11*12</f>
        <v>60</v>
      </c>
      <c r="F11" s="17" t="s">
        <v>64</v>
      </c>
      <c r="G11" s="20" t="s">
        <v>62</v>
      </c>
    </row>
    <row r="12" customFormat="false" ht="15" hidden="false" customHeight="true" outlineLevel="0" collapsed="false">
      <c r="A12" s="17" t="s">
        <v>65</v>
      </c>
      <c r="B12" s="18" t="n">
        <v>0</v>
      </c>
      <c r="C12" s="18" t="n">
        <v>3</v>
      </c>
      <c r="D12" s="18" t="n">
        <v>15</v>
      </c>
      <c r="E12" s="19" t="n">
        <f aca="false">C12*12</f>
        <v>36</v>
      </c>
      <c r="F12" s="17" t="s">
        <v>66</v>
      </c>
      <c r="G12" s="20" t="s">
        <v>62</v>
      </c>
    </row>
    <row r="13" customFormat="false" ht="15" hidden="false" customHeight="true" outlineLevel="0" collapsed="false">
      <c r="A13" s="17" t="s">
        <v>67</v>
      </c>
      <c r="B13" s="18" t="n">
        <v>0</v>
      </c>
      <c r="C13" s="18" t="n">
        <v>5</v>
      </c>
      <c r="D13" s="18" t="n">
        <v>30</v>
      </c>
      <c r="E13" s="19" t="n">
        <f aca="false">C13*12</f>
        <v>60</v>
      </c>
      <c r="F13" s="17" t="s">
        <v>68</v>
      </c>
      <c r="G13" s="20" t="s">
        <v>62</v>
      </c>
    </row>
    <row r="14" customFormat="false" ht="15" hidden="false" customHeight="true" outlineLevel="0" collapsed="false">
      <c r="A14" s="17" t="s">
        <v>69</v>
      </c>
      <c r="B14" s="18" t="n">
        <v>0</v>
      </c>
      <c r="C14" s="18" t="n">
        <v>10</v>
      </c>
      <c r="D14" s="18" t="n">
        <v>50</v>
      </c>
      <c r="E14" s="19" t="n">
        <f aca="false">C14*12</f>
        <v>120</v>
      </c>
      <c r="F14" s="17" t="s">
        <v>70</v>
      </c>
      <c r="G14" s="20" t="s">
        <v>62</v>
      </c>
    </row>
    <row r="15" customFormat="false" ht="15" hidden="false" customHeight="true" outlineLevel="0" collapsed="false">
      <c r="A15" s="17" t="s">
        <v>71</v>
      </c>
      <c r="B15" s="18" t="n">
        <v>0</v>
      </c>
      <c r="C15" s="18" t="n">
        <v>2</v>
      </c>
      <c r="D15" s="18" t="n">
        <v>15</v>
      </c>
      <c r="E15" s="19" t="n">
        <f aca="false">C15*12</f>
        <v>24</v>
      </c>
      <c r="F15" s="17" t="s">
        <v>72</v>
      </c>
      <c r="G15" s="20" t="s">
        <v>62</v>
      </c>
    </row>
    <row r="17" customFormat="false" ht="15" hidden="false" customHeight="true" outlineLevel="0" collapsed="false">
      <c r="A17" s="15" t="s">
        <v>73</v>
      </c>
      <c r="B17" s="16"/>
      <c r="C17" s="16"/>
      <c r="D17" s="16"/>
      <c r="E17" s="16"/>
      <c r="F17" s="16"/>
      <c r="G17" s="16"/>
    </row>
    <row r="18" customFormat="false" ht="15" hidden="false" customHeight="true" outlineLevel="0" collapsed="false">
      <c r="A18" s="17" t="s">
        <v>74</v>
      </c>
      <c r="B18" s="18" t="n">
        <v>0</v>
      </c>
      <c r="C18" s="18" t="n">
        <v>50</v>
      </c>
      <c r="D18" s="18" t="n">
        <v>200</v>
      </c>
      <c r="E18" s="19" t="n">
        <f aca="false">C18*12</f>
        <v>600</v>
      </c>
      <c r="F18" s="17" t="s">
        <v>75</v>
      </c>
      <c r="G18" s="20" t="s">
        <v>54</v>
      </c>
    </row>
    <row r="19" customFormat="false" ht="15" hidden="false" customHeight="true" outlineLevel="0" collapsed="false">
      <c r="A19" s="17" t="s">
        <v>76</v>
      </c>
      <c r="B19" s="18" t="n">
        <v>0</v>
      </c>
      <c r="C19" s="18" t="n">
        <v>100</v>
      </c>
      <c r="D19" s="18" t="n">
        <v>500</v>
      </c>
      <c r="E19" s="19" t="n">
        <f aca="false">C19*12</f>
        <v>1200</v>
      </c>
      <c r="F19" s="17" t="s">
        <v>77</v>
      </c>
      <c r="G19" s="20" t="s">
        <v>54</v>
      </c>
    </row>
    <row r="20" customFormat="false" ht="15" hidden="false" customHeight="true" outlineLevel="0" collapsed="false">
      <c r="A20" s="17" t="s">
        <v>78</v>
      </c>
      <c r="B20" s="18" t="n">
        <v>0</v>
      </c>
      <c r="C20" s="18" t="n">
        <v>200</v>
      </c>
      <c r="D20" s="18" t="n">
        <v>2000</v>
      </c>
      <c r="E20" s="19" t="n">
        <f aca="false">C20*12</f>
        <v>2400</v>
      </c>
      <c r="F20" s="17" t="s">
        <v>79</v>
      </c>
      <c r="G20" s="20" t="s">
        <v>62</v>
      </c>
    </row>
    <row r="21" customFormat="false" ht="15" hidden="false" customHeight="true" outlineLevel="0" collapsed="false">
      <c r="A21" s="17" t="s">
        <v>80</v>
      </c>
      <c r="B21" s="18" t="n">
        <v>0</v>
      </c>
      <c r="C21" s="18" t="n">
        <v>250</v>
      </c>
      <c r="D21" s="18" t="n">
        <v>1000</v>
      </c>
      <c r="E21" s="19" t="n">
        <f aca="false">C21*12</f>
        <v>3000</v>
      </c>
      <c r="F21" s="17" t="s">
        <v>81</v>
      </c>
      <c r="G21" s="20" t="s">
        <v>54</v>
      </c>
    </row>
    <row r="22" customFormat="false" ht="15" hidden="false" customHeight="true" outlineLevel="0" collapsed="false">
      <c r="A22" s="17" t="s">
        <v>82</v>
      </c>
      <c r="B22" s="18" t="n">
        <v>0</v>
      </c>
      <c r="C22" s="18" t="n">
        <v>50</v>
      </c>
      <c r="D22" s="18" t="n">
        <v>200</v>
      </c>
      <c r="E22" s="19" t="n">
        <f aca="false">C22*12</f>
        <v>600</v>
      </c>
      <c r="F22" s="17" t="s">
        <v>83</v>
      </c>
      <c r="G22" s="20" t="s">
        <v>54</v>
      </c>
    </row>
    <row r="24" customFormat="false" ht="15" hidden="false" customHeight="true" outlineLevel="0" collapsed="false">
      <c r="A24" s="21" t="s">
        <v>84</v>
      </c>
      <c r="B24" s="22" t="n">
        <f aca="false">SUM(B5:B7,B10:B15,B18:B22)</f>
        <v>9.25</v>
      </c>
      <c r="C24" s="22" t="n">
        <f aca="false">SUM(C5:C7,C10:C15,C18:C22)</f>
        <v>684.25</v>
      </c>
      <c r="D24" s="22" t="n">
        <f aca="false">SUM(D5:D7,D10:D15,D18:D22)</f>
        <v>4045.25</v>
      </c>
      <c r="E24" s="22" t="n">
        <f aca="false">C24*12</f>
        <v>8211</v>
      </c>
      <c r="F24" s="21"/>
      <c r="G24" s="21"/>
    </row>
    <row r="25" customFormat="false" ht="15" hidden="false" customHeight="true" outlineLevel="0" collapsed="false">
      <c r="A25" s="23" t="s">
        <v>85</v>
      </c>
      <c r="C25" s="24" t="n">
        <v>9.25</v>
      </c>
      <c r="F25" s="25" t="s">
        <v>86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C853"/>
    <pageSetUpPr fitToPage="false"/>
  </sheetPr>
  <dimension ref="A1:H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8" min="2" style="1" width="16"/>
  </cols>
  <sheetData>
    <row r="1" customFormat="false" ht="21.75" hidden="false" customHeight="true" outlineLevel="0" collapsed="false">
      <c r="A1" s="2" t="s">
        <v>87</v>
      </c>
      <c r="B1" s="2"/>
      <c r="C1" s="2"/>
      <c r="D1" s="2"/>
      <c r="E1" s="2"/>
      <c r="F1" s="2"/>
      <c r="G1" s="2"/>
      <c r="H1" s="2"/>
    </row>
    <row r="3" customFormat="false" ht="15" hidden="false" customHeight="true" outlineLevel="0" collapsed="false">
      <c r="A3" s="26" t="s">
        <v>88</v>
      </c>
      <c r="B3" s="26"/>
      <c r="C3" s="26"/>
      <c r="D3" s="26"/>
      <c r="E3" s="26"/>
      <c r="F3" s="26"/>
      <c r="G3" s="26"/>
      <c r="H3" s="26"/>
    </row>
    <row r="4" customFormat="false" ht="15" hidden="false" customHeight="true" outlineLevel="0" collapsed="false">
      <c r="A4" s="27" t="s">
        <v>89</v>
      </c>
      <c r="B4" s="28" t="s">
        <v>90</v>
      </c>
      <c r="C4" s="28"/>
      <c r="D4" s="28"/>
      <c r="E4" s="28"/>
      <c r="F4" s="28"/>
      <c r="G4" s="28"/>
      <c r="H4" s="28"/>
    </row>
    <row r="5" customFormat="false" ht="15" hidden="false" customHeight="true" outlineLevel="0" collapsed="false">
      <c r="A5" s="27" t="s">
        <v>91</v>
      </c>
      <c r="B5" s="28" t="s">
        <v>92</v>
      </c>
      <c r="C5" s="28"/>
      <c r="D5" s="28"/>
      <c r="E5" s="28"/>
      <c r="F5" s="28"/>
      <c r="G5" s="28"/>
      <c r="H5" s="28"/>
    </row>
    <row r="6" customFormat="false" ht="15" hidden="false" customHeight="true" outlineLevel="0" collapsed="false">
      <c r="A6" s="27" t="s">
        <v>93</v>
      </c>
      <c r="B6" s="28" t="s">
        <v>94</v>
      </c>
      <c r="C6" s="28"/>
      <c r="D6" s="28"/>
      <c r="E6" s="28"/>
      <c r="F6" s="28"/>
      <c r="G6" s="28"/>
      <c r="H6" s="28"/>
    </row>
    <row r="7" customFormat="false" ht="15" hidden="false" customHeight="true" outlineLevel="0" collapsed="false">
      <c r="A7" s="27" t="s">
        <v>95</v>
      </c>
      <c r="B7" s="28" t="s">
        <v>96</v>
      </c>
      <c r="C7" s="28"/>
      <c r="D7" s="28"/>
      <c r="E7" s="28"/>
      <c r="F7" s="28"/>
      <c r="G7" s="28"/>
      <c r="H7" s="28"/>
    </row>
    <row r="8" customFormat="false" ht="15" hidden="false" customHeight="true" outlineLevel="0" collapsed="false">
      <c r="A8" s="27" t="s">
        <v>97</v>
      </c>
      <c r="B8" s="28" t="s">
        <v>98</v>
      </c>
      <c r="C8" s="28"/>
      <c r="D8" s="28"/>
      <c r="E8" s="28"/>
      <c r="F8" s="28"/>
      <c r="G8" s="28"/>
      <c r="H8" s="28"/>
    </row>
    <row r="9" customFormat="false" ht="15" hidden="false" customHeight="true" outlineLevel="0" collapsed="false">
      <c r="A9" s="27" t="s">
        <v>99</v>
      </c>
      <c r="B9" s="28" t="s">
        <v>100</v>
      </c>
      <c r="C9" s="28"/>
      <c r="D9" s="28"/>
      <c r="E9" s="28"/>
      <c r="F9" s="28"/>
      <c r="G9" s="28"/>
      <c r="H9" s="28"/>
    </row>
    <row r="10" customFormat="false" ht="15" hidden="false" customHeight="true" outlineLevel="0" collapsed="false">
      <c r="A10" s="27" t="s">
        <v>101</v>
      </c>
      <c r="B10" s="28" t="s">
        <v>102</v>
      </c>
      <c r="C10" s="28"/>
      <c r="D10" s="28"/>
      <c r="E10" s="28"/>
      <c r="F10" s="28"/>
      <c r="G10" s="28"/>
      <c r="H10" s="28"/>
    </row>
    <row r="12" customFormat="false" ht="15" hidden="false" customHeight="true" outlineLevel="0" collapsed="false">
      <c r="A12" s="29" t="s">
        <v>103</v>
      </c>
      <c r="B12" s="29"/>
      <c r="C12" s="29"/>
      <c r="D12" s="29"/>
      <c r="E12" s="29"/>
      <c r="F12" s="29"/>
      <c r="G12" s="29"/>
      <c r="H12" s="29"/>
    </row>
    <row r="13" customFormat="false" ht="15" hidden="false" customHeight="true" outlineLevel="0" collapsed="false">
      <c r="A13" s="14" t="s">
        <v>104</v>
      </c>
      <c r="B13" s="14" t="s">
        <v>105</v>
      </c>
      <c r="C13" s="14" t="s">
        <v>106</v>
      </c>
      <c r="D13" s="14" t="s">
        <v>107</v>
      </c>
      <c r="E13" s="14" t="s">
        <v>108</v>
      </c>
      <c r="F13" s="14" t="s">
        <v>109</v>
      </c>
    </row>
    <row r="14" customFormat="false" ht="15" hidden="false" customHeight="true" outlineLevel="0" collapsed="false">
      <c r="A14" s="17" t="s">
        <v>110</v>
      </c>
      <c r="B14" s="30" t="n">
        <v>2000</v>
      </c>
      <c r="C14" s="30" t="n">
        <v>8000</v>
      </c>
      <c r="D14" s="30" t="n">
        <v>20000</v>
      </c>
      <c r="E14" s="30" t="n">
        <v>40000</v>
      </c>
      <c r="F14" s="30" t="n">
        <v>70000</v>
      </c>
    </row>
    <row r="15" customFormat="false" ht="15" hidden="false" customHeight="true" outlineLevel="0" collapsed="false">
      <c r="A15" s="17" t="s">
        <v>111</v>
      </c>
      <c r="B15" s="30" t="n">
        <v>500</v>
      </c>
      <c r="C15" s="30" t="n">
        <v>1500</v>
      </c>
      <c r="D15" s="30" t="n">
        <v>4000</v>
      </c>
      <c r="E15" s="30" t="n">
        <v>7000</v>
      </c>
      <c r="F15" s="30" t="n">
        <v>10000</v>
      </c>
    </row>
    <row r="16" customFormat="false" ht="15" hidden="false" customHeight="true" outlineLevel="0" collapsed="false">
      <c r="A16" s="17" t="s">
        <v>112</v>
      </c>
      <c r="B16" s="30" t="n">
        <v>100</v>
      </c>
      <c r="C16" s="30" t="n">
        <v>350</v>
      </c>
      <c r="D16" s="30" t="n">
        <v>900</v>
      </c>
      <c r="E16" s="30" t="n">
        <v>1500</v>
      </c>
      <c r="F16" s="30" t="n">
        <v>2200</v>
      </c>
    </row>
    <row r="17" customFormat="false" ht="15" hidden="false" customHeight="true" outlineLevel="0" collapsed="false">
      <c r="A17" s="17" t="s">
        <v>113</v>
      </c>
      <c r="B17" s="31" t="s">
        <v>114</v>
      </c>
      <c r="C17" s="31" t="s">
        <v>115</v>
      </c>
      <c r="D17" s="31" t="s">
        <v>116</v>
      </c>
      <c r="E17" s="31" t="s">
        <v>117</v>
      </c>
      <c r="F17" s="31" t="s">
        <v>118</v>
      </c>
    </row>
    <row r="18" customFormat="false" ht="15" hidden="false" customHeight="true" outlineLevel="0" collapsed="false">
      <c r="A18" s="17" t="s">
        <v>119</v>
      </c>
      <c r="B18" s="32" t="n">
        <v>15</v>
      </c>
      <c r="C18" s="32" t="n">
        <v>60</v>
      </c>
      <c r="D18" s="32" t="n">
        <v>200</v>
      </c>
      <c r="E18" s="32" t="n">
        <v>385</v>
      </c>
      <c r="F18" s="32" t="n">
        <v>600</v>
      </c>
    </row>
    <row r="19" customFormat="false" ht="15" hidden="false" customHeight="true" outlineLevel="0" collapsed="false">
      <c r="A19" s="17" t="s">
        <v>120</v>
      </c>
      <c r="B19" s="18" t="n">
        <v>4.99</v>
      </c>
      <c r="C19" s="18" t="n">
        <v>5.49</v>
      </c>
      <c r="D19" s="18" t="n">
        <v>5.99</v>
      </c>
      <c r="E19" s="18" t="n">
        <v>6.49</v>
      </c>
      <c r="F19" s="18" t="n">
        <v>6.99</v>
      </c>
    </row>
    <row r="20" customFormat="false" ht="15" hidden="false" customHeight="true" outlineLevel="0" collapsed="false">
      <c r="A20" s="6" t="s">
        <v>121</v>
      </c>
      <c r="B20" s="33" t="n">
        <f aca="false">B18*B19</f>
        <v>74.85</v>
      </c>
      <c r="C20" s="33" t="n">
        <f aca="false">C18*C19</f>
        <v>329.4</v>
      </c>
      <c r="D20" s="33" t="n">
        <f aca="false">D18*D19</f>
        <v>1198</v>
      </c>
      <c r="E20" s="33" t="n">
        <f aca="false">E18*E19</f>
        <v>2498.65</v>
      </c>
      <c r="F20" s="33" t="n">
        <f aca="false">F18*F19</f>
        <v>4194</v>
      </c>
    </row>
    <row r="21" customFormat="false" ht="15" hidden="false" customHeight="true" outlineLevel="0" collapsed="false">
      <c r="A21" s="17" t="s">
        <v>122</v>
      </c>
      <c r="B21" s="34" t="n">
        <f aca="false">B20*0.15</f>
        <v>11.2275</v>
      </c>
      <c r="C21" s="34" t="n">
        <f aca="false">C20*0.15</f>
        <v>49.41</v>
      </c>
      <c r="D21" s="34" t="n">
        <f aca="false">D20*0.15</f>
        <v>179.7</v>
      </c>
      <c r="E21" s="34" t="n">
        <f aca="false">E20*0.15</f>
        <v>374.7975</v>
      </c>
      <c r="F21" s="34" t="n">
        <f aca="false">F20*0.15</f>
        <v>629.1</v>
      </c>
    </row>
    <row r="22" customFormat="false" ht="15" hidden="false" customHeight="true" outlineLevel="0" collapsed="false">
      <c r="A22" s="23" t="s">
        <v>123</v>
      </c>
      <c r="B22" s="35" t="n">
        <f aca="false">B20-B21</f>
        <v>63.6225</v>
      </c>
      <c r="C22" s="35" t="n">
        <f aca="false">C20-C21</f>
        <v>279.99</v>
      </c>
      <c r="D22" s="35" t="n">
        <f aca="false">D20-D21</f>
        <v>1018.3</v>
      </c>
      <c r="E22" s="35" t="n">
        <f aca="false">E20-E21</f>
        <v>2123.8525</v>
      </c>
      <c r="F22" s="35" t="n">
        <f aca="false">F20-F21</f>
        <v>3564.9</v>
      </c>
    </row>
    <row r="23" customFormat="false" ht="15" hidden="false" customHeight="true" outlineLevel="0" collapsed="false">
      <c r="A23" s="17" t="s">
        <v>124</v>
      </c>
      <c r="B23" s="36" t="n">
        <v>50</v>
      </c>
      <c r="C23" s="36" t="n">
        <v>120</v>
      </c>
      <c r="D23" s="36" t="n">
        <v>300</v>
      </c>
      <c r="E23" s="36" t="n">
        <v>500</v>
      </c>
      <c r="F23" s="36" t="n">
        <v>700</v>
      </c>
    </row>
    <row r="24" customFormat="false" ht="15" hidden="false" customHeight="true" outlineLevel="0" collapsed="false">
      <c r="A24" s="23" t="s">
        <v>125</v>
      </c>
      <c r="B24" s="35" t="n">
        <f aca="false">B22-B23</f>
        <v>13.6225</v>
      </c>
      <c r="C24" s="35" t="n">
        <f aca="false">C22-C23</f>
        <v>159.99</v>
      </c>
      <c r="D24" s="35" t="n">
        <f aca="false">D22-D23</f>
        <v>718.3</v>
      </c>
      <c r="E24" s="35" t="n">
        <f aca="false">E22-E23</f>
        <v>1623.8525</v>
      </c>
      <c r="F24" s="35" t="n">
        <f aca="false">F22-F23</f>
        <v>2864.9</v>
      </c>
    </row>
    <row r="25" customFormat="false" ht="15" hidden="false" customHeight="true" outlineLevel="0" collapsed="false">
      <c r="A25" s="17" t="s">
        <v>126</v>
      </c>
      <c r="B25" s="34" t="n">
        <f aca="false">B22*12</f>
        <v>763.47</v>
      </c>
      <c r="C25" s="34" t="n">
        <f aca="false">C22*12</f>
        <v>3359.88</v>
      </c>
      <c r="D25" s="34" t="n">
        <f aca="false">D22*12</f>
        <v>12219.6</v>
      </c>
      <c r="E25" s="34" t="n">
        <f aca="false">E22*12</f>
        <v>25486.23</v>
      </c>
      <c r="F25" s="34" t="n">
        <f aca="false">F22*12</f>
        <v>42778.8</v>
      </c>
    </row>
    <row r="26" customFormat="false" ht="15" hidden="false" customHeight="true" outlineLevel="0" collapsed="false">
      <c r="A26" s="17" t="s">
        <v>127</v>
      </c>
      <c r="B26" s="34" t="n">
        <f aca="false">B23*12</f>
        <v>600</v>
      </c>
      <c r="C26" s="34" t="n">
        <f aca="false">C23*12</f>
        <v>1440</v>
      </c>
      <c r="D26" s="34" t="n">
        <f aca="false">D23*12</f>
        <v>3600</v>
      </c>
      <c r="E26" s="34" t="n">
        <f aca="false">E23*12</f>
        <v>6000</v>
      </c>
      <c r="F26" s="34" t="n">
        <f aca="false">F23*12</f>
        <v>8400</v>
      </c>
    </row>
    <row r="27" customFormat="false" ht="15" hidden="false" customHeight="true" outlineLevel="0" collapsed="false">
      <c r="A27" s="17" t="s">
        <v>128</v>
      </c>
      <c r="B27" s="34" t="n">
        <f aca="false">B25-B26</f>
        <v>163.47</v>
      </c>
      <c r="C27" s="34" t="n">
        <f aca="false">C25-C26</f>
        <v>1919.88</v>
      </c>
      <c r="D27" s="34" t="n">
        <f aca="false">D25-D26</f>
        <v>8619.6</v>
      </c>
      <c r="E27" s="34" t="n">
        <f aca="false">E25-E26</f>
        <v>19486.23</v>
      </c>
      <c r="F27" s="34" t="n">
        <f aca="false">F25-F26</f>
        <v>34378.8</v>
      </c>
    </row>
    <row r="28" customFormat="false" ht="15" hidden="false" customHeight="true" outlineLevel="0" collapsed="false">
      <c r="A28" s="23" t="s">
        <v>129</v>
      </c>
      <c r="B28" s="35" t="n">
        <f aca="false">B27</f>
        <v>163.47</v>
      </c>
      <c r="C28" s="35" t="n">
        <f aca="false">B28+C27</f>
        <v>2083.35</v>
      </c>
      <c r="D28" s="35" t="n">
        <f aca="false">C28+D27</f>
        <v>10702.95</v>
      </c>
      <c r="E28" s="35" t="n">
        <f aca="false">D28+E27</f>
        <v>30189.18</v>
      </c>
      <c r="F28" s="35" t="n">
        <f aca="false">E28+F27</f>
        <v>64567.98</v>
      </c>
    </row>
    <row r="30" customFormat="false" ht="15" hidden="false" customHeight="true" outlineLevel="0" collapsed="false">
      <c r="A30" s="37" t="s">
        <v>130</v>
      </c>
      <c r="B30" s="37"/>
      <c r="C30" s="37"/>
      <c r="D30" s="37"/>
      <c r="E30" s="37"/>
      <c r="F30" s="37"/>
      <c r="G30" s="37"/>
      <c r="H30" s="37"/>
    </row>
    <row r="31" customFormat="false" ht="15" hidden="false" customHeight="true" outlineLevel="0" collapsed="false">
      <c r="A31" s="14" t="s">
        <v>104</v>
      </c>
      <c r="B31" s="14" t="s">
        <v>105</v>
      </c>
      <c r="C31" s="14" t="s">
        <v>106</v>
      </c>
      <c r="D31" s="14" t="s">
        <v>107</v>
      </c>
      <c r="E31" s="14" t="s">
        <v>108</v>
      </c>
      <c r="F31" s="14" t="s">
        <v>109</v>
      </c>
    </row>
    <row r="32" customFormat="false" ht="15" hidden="false" customHeight="true" outlineLevel="0" collapsed="false">
      <c r="A32" s="17" t="s">
        <v>110</v>
      </c>
      <c r="B32" s="30" t="n">
        <v>10000</v>
      </c>
      <c r="C32" s="30" t="n">
        <v>50000</v>
      </c>
      <c r="D32" s="30" t="n">
        <v>150000</v>
      </c>
      <c r="E32" s="30" t="n">
        <v>350000</v>
      </c>
      <c r="F32" s="30" t="n">
        <v>600000</v>
      </c>
    </row>
    <row r="33" customFormat="false" ht="15" hidden="false" customHeight="true" outlineLevel="0" collapsed="false">
      <c r="A33" s="17" t="s">
        <v>111</v>
      </c>
      <c r="B33" s="30" t="n">
        <v>3000</v>
      </c>
      <c r="C33" s="30" t="n">
        <v>12000</v>
      </c>
      <c r="D33" s="30" t="n">
        <v>35000</v>
      </c>
      <c r="E33" s="30" t="n">
        <v>70000</v>
      </c>
      <c r="F33" s="30" t="n">
        <v>100000</v>
      </c>
    </row>
    <row r="34" customFormat="false" ht="15" hidden="false" customHeight="true" outlineLevel="0" collapsed="false">
      <c r="A34" s="17" t="s">
        <v>112</v>
      </c>
      <c r="B34" s="30" t="n">
        <v>700</v>
      </c>
      <c r="C34" s="30" t="n">
        <v>3000</v>
      </c>
      <c r="D34" s="30" t="n">
        <v>8000</v>
      </c>
      <c r="E34" s="30" t="n">
        <v>16000</v>
      </c>
      <c r="F34" s="30" t="n">
        <v>23000</v>
      </c>
    </row>
    <row r="35" customFormat="false" ht="15" hidden="false" customHeight="true" outlineLevel="0" collapsed="false">
      <c r="A35" s="17" t="s">
        <v>113</v>
      </c>
      <c r="B35" s="31" t="s">
        <v>116</v>
      </c>
      <c r="C35" s="31" t="s">
        <v>118</v>
      </c>
      <c r="D35" s="31" t="s">
        <v>131</v>
      </c>
      <c r="E35" s="31" t="s">
        <v>132</v>
      </c>
      <c r="F35" s="31" t="s">
        <v>133</v>
      </c>
    </row>
    <row r="36" customFormat="false" ht="15" hidden="false" customHeight="true" outlineLevel="0" collapsed="false">
      <c r="A36" s="17" t="s">
        <v>119</v>
      </c>
      <c r="B36" s="32" t="n">
        <v>150</v>
      </c>
      <c r="C36" s="32" t="n">
        <v>720</v>
      </c>
      <c r="D36" s="32" t="n">
        <v>2450</v>
      </c>
      <c r="E36" s="32" t="n">
        <v>5250</v>
      </c>
      <c r="F36" s="32" t="n">
        <v>8000</v>
      </c>
    </row>
    <row r="37" customFormat="false" ht="15" hidden="false" customHeight="true" outlineLevel="0" collapsed="false">
      <c r="A37" s="17" t="s">
        <v>120</v>
      </c>
      <c r="B37" s="18" t="n">
        <v>6.99</v>
      </c>
      <c r="C37" s="18" t="n">
        <v>7.99</v>
      </c>
      <c r="D37" s="18" t="n">
        <v>8.99</v>
      </c>
      <c r="E37" s="18" t="n">
        <v>9.99</v>
      </c>
      <c r="F37" s="18" t="n">
        <v>10.99</v>
      </c>
    </row>
    <row r="38" customFormat="false" ht="15" hidden="false" customHeight="true" outlineLevel="0" collapsed="false">
      <c r="A38" s="6" t="s">
        <v>121</v>
      </c>
      <c r="B38" s="33" t="n">
        <f aca="false">B36*B37</f>
        <v>1048.5</v>
      </c>
      <c r="C38" s="33" t="n">
        <f aca="false">C36*C37</f>
        <v>5752.8</v>
      </c>
      <c r="D38" s="33" t="n">
        <f aca="false">D36*D37</f>
        <v>22025.5</v>
      </c>
      <c r="E38" s="33" t="n">
        <f aca="false">E36*E37</f>
        <v>52447.5</v>
      </c>
      <c r="F38" s="33" t="n">
        <f aca="false">F36*F37</f>
        <v>87920</v>
      </c>
    </row>
    <row r="39" customFormat="false" ht="15" hidden="false" customHeight="true" outlineLevel="0" collapsed="false">
      <c r="A39" s="17" t="s">
        <v>122</v>
      </c>
      <c r="B39" s="34" t="n">
        <f aca="false">B38*0.15</f>
        <v>157.275</v>
      </c>
      <c r="C39" s="34" t="n">
        <f aca="false">C38*0.15</f>
        <v>862.92</v>
      </c>
      <c r="D39" s="34" t="n">
        <f aca="false">D38*0.15</f>
        <v>3303.825</v>
      </c>
      <c r="E39" s="34" t="n">
        <f aca="false">E38*0.15</f>
        <v>7867.125</v>
      </c>
      <c r="F39" s="34" t="n">
        <f aca="false">F38*0.15</f>
        <v>13188</v>
      </c>
    </row>
    <row r="40" customFormat="false" ht="15" hidden="false" customHeight="true" outlineLevel="0" collapsed="false">
      <c r="A40" s="23" t="s">
        <v>123</v>
      </c>
      <c r="B40" s="35" t="n">
        <f aca="false">B38-B39</f>
        <v>891.225</v>
      </c>
      <c r="C40" s="35" t="n">
        <f aca="false">C38-C39</f>
        <v>4889.88</v>
      </c>
      <c r="D40" s="35" t="n">
        <f aca="false">D38-D39</f>
        <v>18721.675</v>
      </c>
      <c r="E40" s="35" t="n">
        <f aca="false">E38-E39</f>
        <v>44580.375</v>
      </c>
      <c r="F40" s="35" t="n">
        <f aca="false">F38-F39</f>
        <v>74732</v>
      </c>
    </row>
    <row r="41" customFormat="false" ht="15" hidden="false" customHeight="true" outlineLevel="0" collapsed="false">
      <c r="A41" s="17" t="s">
        <v>124</v>
      </c>
      <c r="B41" s="36" t="n">
        <v>500</v>
      </c>
      <c r="C41" s="36" t="n">
        <v>1500</v>
      </c>
      <c r="D41" s="36" t="n">
        <v>4000</v>
      </c>
      <c r="E41" s="36" t="n">
        <v>7000</v>
      </c>
      <c r="F41" s="36" t="n">
        <v>10000</v>
      </c>
    </row>
    <row r="42" customFormat="false" ht="15" hidden="false" customHeight="true" outlineLevel="0" collapsed="false">
      <c r="A42" s="23" t="s">
        <v>125</v>
      </c>
      <c r="B42" s="35" t="n">
        <f aca="false">B40-B41</f>
        <v>391.225</v>
      </c>
      <c r="C42" s="35" t="n">
        <f aca="false">C40-C41</f>
        <v>3389.88</v>
      </c>
      <c r="D42" s="35" t="n">
        <f aca="false">D40-D41</f>
        <v>14721.675</v>
      </c>
      <c r="E42" s="35" t="n">
        <f aca="false">E40-E41</f>
        <v>37580.375</v>
      </c>
      <c r="F42" s="35" t="n">
        <f aca="false">F40-F41</f>
        <v>64732</v>
      </c>
    </row>
    <row r="43" customFormat="false" ht="15" hidden="false" customHeight="true" outlineLevel="0" collapsed="false">
      <c r="A43" s="17" t="s">
        <v>126</v>
      </c>
      <c r="B43" s="34" t="n">
        <f aca="false">B40*12</f>
        <v>10694.7</v>
      </c>
      <c r="C43" s="34" t="n">
        <f aca="false">C40*12</f>
        <v>58678.56</v>
      </c>
      <c r="D43" s="34" t="n">
        <f aca="false">D40*12</f>
        <v>224660.1</v>
      </c>
      <c r="E43" s="34" t="n">
        <f aca="false">E40*12</f>
        <v>534964.5</v>
      </c>
      <c r="F43" s="34" t="n">
        <f aca="false">F40*12</f>
        <v>896784</v>
      </c>
    </row>
    <row r="44" customFormat="false" ht="15" hidden="false" customHeight="true" outlineLevel="0" collapsed="false">
      <c r="A44" s="17" t="s">
        <v>127</v>
      </c>
      <c r="B44" s="34" t="n">
        <f aca="false">B41*12</f>
        <v>6000</v>
      </c>
      <c r="C44" s="34" t="n">
        <f aca="false">C41*12</f>
        <v>18000</v>
      </c>
      <c r="D44" s="34" t="n">
        <f aca="false">D41*12</f>
        <v>48000</v>
      </c>
      <c r="E44" s="34" t="n">
        <f aca="false">E41*12</f>
        <v>84000</v>
      </c>
      <c r="F44" s="34" t="n">
        <f aca="false">F41*12</f>
        <v>120000</v>
      </c>
    </row>
    <row r="45" customFormat="false" ht="15" hidden="false" customHeight="true" outlineLevel="0" collapsed="false">
      <c r="A45" s="17" t="s">
        <v>128</v>
      </c>
      <c r="B45" s="34" t="n">
        <f aca="false">B43-B44</f>
        <v>4694.7</v>
      </c>
      <c r="C45" s="34" t="n">
        <f aca="false">C43-C44</f>
        <v>40678.56</v>
      </c>
      <c r="D45" s="34" t="n">
        <f aca="false">D43-D44</f>
        <v>176660.1</v>
      </c>
      <c r="E45" s="34" t="n">
        <f aca="false">E43-E44</f>
        <v>450964.5</v>
      </c>
      <c r="F45" s="34" t="n">
        <f aca="false">F43-F44</f>
        <v>776784</v>
      </c>
    </row>
    <row r="46" customFormat="false" ht="15" hidden="false" customHeight="true" outlineLevel="0" collapsed="false">
      <c r="A46" s="23" t="s">
        <v>129</v>
      </c>
      <c r="B46" s="35" t="n">
        <f aca="false">B45</f>
        <v>4694.7</v>
      </c>
      <c r="C46" s="35" t="n">
        <f aca="false">B46+C45</f>
        <v>45373.26</v>
      </c>
      <c r="D46" s="35" t="n">
        <f aca="false">C46+D45</f>
        <v>222033.36</v>
      </c>
      <c r="E46" s="35" t="n">
        <f aca="false">D46+E45</f>
        <v>672997.86</v>
      </c>
      <c r="F46" s="35" t="n">
        <f aca="false">E46+F45</f>
        <v>1449781.86</v>
      </c>
    </row>
    <row r="48" customFormat="false" ht="15" hidden="false" customHeight="true" outlineLevel="0" collapsed="false">
      <c r="A48" s="38" t="s">
        <v>134</v>
      </c>
      <c r="B48" s="38"/>
      <c r="C48" s="38"/>
      <c r="D48" s="38"/>
      <c r="E48" s="38"/>
      <c r="F48" s="38"/>
      <c r="G48" s="38"/>
      <c r="H48" s="38"/>
    </row>
    <row r="49" customFormat="false" ht="15" hidden="false" customHeight="true" outlineLevel="0" collapsed="false">
      <c r="A49" s="14" t="s">
        <v>104</v>
      </c>
      <c r="B49" s="14" t="s">
        <v>105</v>
      </c>
      <c r="C49" s="14" t="s">
        <v>106</v>
      </c>
      <c r="D49" s="14" t="s">
        <v>107</v>
      </c>
      <c r="E49" s="14" t="s">
        <v>108</v>
      </c>
      <c r="F49" s="14" t="s">
        <v>109</v>
      </c>
    </row>
    <row r="50" customFormat="false" ht="15" hidden="false" customHeight="true" outlineLevel="0" collapsed="false">
      <c r="A50" s="17" t="s">
        <v>110</v>
      </c>
      <c r="B50" s="30" t="n">
        <v>50000</v>
      </c>
      <c r="C50" s="30" t="n">
        <v>300000</v>
      </c>
      <c r="D50" s="30" t="n">
        <v>1000000</v>
      </c>
      <c r="E50" s="30" t="n">
        <v>2500000</v>
      </c>
      <c r="F50" s="30" t="n">
        <v>5000000</v>
      </c>
    </row>
    <row r="51" customFormat="false" ht="15" hidden="false" customHeight="true" outlineLevel="0" collapsed="false">
      <c r="A51" s="17" t="s">
        <v>111</v>
      </c>
      <c r="B51" s="30" t="n">
        <v>15000</v>
      </c>
      <c r="C51" s="30" t="n">
        <v>80000</v>
      </c>
      <c r="D51" s="30" t="n">
        <v>250000</v>
      </c>
      <c r="E51" s="30" t="n">
        <v>500000</v>
      </c>
      <c r="F51" s="30" t="n">
        <v>800000</v>
      </c>
    </row>
    <row r="52" customFormat="false" ht="15" hidden="false" customHeight="true" outlineLevel="0" collapsed="false">
      <c r="A52" s="17" t="s">
        <v>112</v>
      </c>
      <c r="B52" s="30" t="n">
        <v>4000</v>
      </c>
      <c r="C52" s="30" t="n">
        <v>20000</v>
      </c>
      <c r="D52" s="30" t="n">
        <v>60000</v>
      </c>
      <c r="E52" s="30" t="n">
        <v>120000</v>
      </c>
      <c r="F52" s="30" t="n">
        <v>200000</v>
      </c>
    </row>
    <row r="53" customFormat="false" ht="15" hidden="false" customHeight="true" outlineLevel="0" collapsed="false">
      <c r="A53" s="17" t="s">
        <v>113</v>
      </c>
      <c r="B53" s="31" t="s">
        <v>118</v>
      </c>
      <c r="C53" s="31" t="s">
        <v>131</v>
      </c>
      <c r="D53" s="31" t="s">
        <v>133</v>
      </c>
      <c r="E53" s="31" t="s">
        <v>135</v>
      </c>
      <c r="F53" s="31" t="s">
        <v>136</v>
      </c>
    </row>
    <row r="54" customFormat="false" ht="15" hidden="false" customHeight="true" outlineLevel="0" collapsed="false">
      <c r="A54" s="17" t="s">
        <v>119</v>
      </c>
      <c r="B54" s="32" t="n">
        <v>900</v>
      </c>
      <c r="C54" s="32" t="n">
        <v>5600</v>
      </c>
      <c r="D54" s="32" t="n">
        <v>20000</v>
      </c>
      <c r="E54" s="32" t="n">
        <v>42500</v>
      </c>
      <c r="F54" s="32" t="n">
        <v>72000</v>
      </c>
    </row>
    <row r="55" customFormat="false" ht="15" hidden="false" customHeight="true" outlineLevel="0" collapsed="false">
      <c r="A55" s="17" t="s">
        <v>120</v>
      </c>
      <c r="B55" s="18" t="n">
        <v>8.99</v>
      </c>
      <c r="C55" s="18" t="n">
        <v>10.99</v>
      </c>
      <c r="D55" s="18" t="n">
        <v>12.99</v>
      </c>
      <c r="E55" s="18" t="n">
        <v>14.99</v>
      </c>
      <c r="F55" s="18" t="n">
        <v>16.99</v>
      </c>
    </row>
    <row r="56" customFormat="false" ht="15" hidden="false" customHeight="true" outlineLevel="0" collapsed="false">
      <c r="A56" s="6" t="s">
        <v>121</v>
      </c>
      <c r="B56" s="33" t="n">
        <f aca="false">B54*B55</f>
        <v>8091</v>
      </c>
      <c r="C56" s="33" t="n">
        <f aca="false">C54*C55</f>
        <v>61544</v>
      </c>
      <c r="D56" s="33" t="n">
        <f aca="false">D54*D55</f>
        <v>259800</v>
      </c>
      <c r="E56" s="33" t="n">
        <f aca="false">E54*E55</f>
        <v>637075</v>
      </c>
      <c r="F56" s="33" t="n">
        <f aca="false">F54*F55</f>
        <v>1223280</v>
      </c>
    </row>
    <row r="57" customFormat="false" ht="15" hidden="false" customHeight="true" outlineLevel="0" collapsed="false">
      <c r="A57" s="17" t="s">
        <v>137</v>
      </c>
      <c r="B57" s="34" t="n">
        <f aca="false">B56*0.2</f>
        <v>1618.2</v>
      </c>
      <c r="C57" s="34" t="n">
        <f aca="false">C56*0.2</f>
        <v>12308.8</v>
      </c>
      <c r="D57" s="34" t="n">
        <f aca="false">D56*0.2</f>
        <v>51960</v>
      </c>
      <c r="E57" s="34" t="n">
        <f aca="false">E56*0.2</f>
        <v>127415</v>
      </c>
      <c r="F57" s="34" t="n">
        <f aca="false">F56*0.2</f>
        <v>244656</v>
      </c>
    </row>
    <row r="58" customFormat="false" ht="15" hidden="false" customHeight="true" outlineLevel="0" collapsed="false">
      <c r="A58" s="23" t="s">
        <v>123</v>
      </c>
      <c r="B58" s="35" t="n">
        <f aca="false">B56-B57</f>
        <v>6472.8</v>
      </c>
      <c r="C58" s="35" t="n">
        <f aca="false">C56-C57</f>
        <v>49235.2</v>
      </c>
      <c r="D58" s="35" t="n">
        <f aca="false">D56-D57</f>
        <v>207840</v>
      </c>
      <c r="E58" s="35" t="n">
        <f aca="false">E56-E57</f>
        <v>509660</v>
      </c>
      <c r="F58" s="35" t="n">
        <f aca="false">F56-F57</f>
        <v>978624</v>
      </c>
    </row>
    <row r="59" customFormat="false" ht="15" hidden="false" customHeight="true" outlineLevel="0" collapsed="false">
      <c r="A59" s="17" t="s">
        <v>124</v>
      </c>
      <c r="B59" s="36" t="n">
        <v>3000</v>
      </c>
      <c r="C59" s="36" t="n">
        <v>12000</v>
      </c>
      <c r="D59" s="36" t="n">
        <v>35000</v>
      </c>
      <c r="E59" s="36" t="n">
        <v>60000</v>
      </c>
      <c r="F59" s="36" t="n">
        <v>85000</v>
      </c>
    </row>
    <row r="60" customFormat="false" ht="15" hidden="false" customHeight="true" outlineLevel="0" collapsed="false">
      <c r="A60" s="23" t="s">
        <v>125</v>
      </c>
      <c r="B60" s="35" t="n">
        <f aca="false">B58-B59</f>
        <v>3472.8</v>
      </c>
      <c r="C60" s="35" t="n">
        <f aca="false">C58-C59</f>
        <v>37235.2</v>
      </c>
      <c r="D60" s="35" t="n">
        <f aca="false">D58-D59</f>
        <v>172840</v>
      </c>
      <c r="E60" s="35" t="n">
        <f aca="false">E58-E59</f>
        <v>449660</v>
      </c>
      <c r="F60" s="35" t="n">
        <f aca="false">F58-F59</f>
        <v>893624</v>
      </c>
    </row>
    <row r="61" customFormat="false" ht="15" hidden="false" customHeight="true" outlineLevel="0" collapsed="false">
      <c r="A61" s="17" t="s">
        <v>126</v>
      </c>
      <c r="B61" s="34" t="n">
        <f aca="false">B58*12</f>
        <v>77673.6</v>
      </c>
      <c r="C61" s="34" t="n">
        <f aca="false">C58*12</f>
        <v>590822.4</v>
      </c>
      <c r="D61" s="34" t="n">
        <f aca="false">D58*12</f>
        <v>2494080</v>
      </c>
      <c r="E61" s="34" t="n">
        <f aca="false">E58*12</f>
        <v>6115920</v>
      </c>
      <c r="F61" s="34" t="n">
        <f aca="false">F58*12</f>
        <v>11743488</v>
      </c>
    </row>
    <row r="62" customFormat="false" ht="15" hidden="false" customHeight="true" outlineLevel="0" collapsed="false">
      <c r="A62" s="17" t="s">
        <v>127</v>
      </c>
      <c r="B62" s="34" t="n">
        <f aca="false">B59*12</f>
        <v>36000</v>
      </c>
      <c r="C62" s="34" t="n">
        <f aca="false">C59*12</f>
        <v>144000</v>
      </c>
      <c r="D62" s="34" t="n">
        <f aca="false">D59*12</f>
        <v>420000</v>
      </c>
      <c r="E62" s="34" t="n">
        <f aca="false">E59*12</f>
        <v>720000</v>
      </c>
      <c r="F62" s="34" t="n">
        <f aca="false">F59*12</f>
        <v>1020000</v>
      </c>
    </row>
    <row r="63" customFormat="false" ht="15" hidden="false" customHeight="true" outlineLevel="0" collapsed="false">
      <c r="A63" s="17" t="s">
        <v>128</v>
      </c>
      <c r="B63" s="34" t="n">
        <f aca="false">B61-B62</f>
        <v>41673.6</v>
      </c>
      <c r="C63" s="34" t="n">
        <f aca="false">C61-C62</f>
        <v>446822.4</v>
      </c>
      <c r="D63" s="34" t="n">
        <f aca="false">D61-D62</f>
        <v>2074080</v>
      </c>
      <c r="E63" s="34" t="n">
        <f aca="false">E61-E62</f>
        <v>5395920</v>
      </c>
      <c r="F63" s="34" t="n">
        <f aca="false">F61-F62</f>
        <v>10723488</v>
      </c>
    </row>
    <row r="64" customFormat="false" ht="15" hidden="false" customHeight="true" outlineLevel="0" collapsed="false">
      <c r="A64" s="23" t="s">
        <v>129</v>
      </c>
      <c r="B64" s="35" t="n">
        <f aca="false">B63</f>
        <v>41673.6</v>
      </c>
      <c r="C64" s="35" t="n">
        <f aca="false">B64+C63</f>
        <v>488496</v>
      </c>
      <c r="D64" s="35" t="n">
        <f aca="false">C64+D63</f>
        <v>2562576</v>
      </c>
      <c r="E64" s="35" t="n">
        <f aca="false">D64+E63</f>
        <v>7958496</v>
      </c>
      <c r="F64" s="35" t="n">
        <f aca="false">E64+F63</f>
        <v>18681984</v>
      </c>
    </row>
  </sheetData>
  <mergeCells count="12">
    <mergeCell ref="A1:H1"/>
    <mergeCell ref="A3:H3"/>
    <mergeCell ref="B4:H4"/>
    <mergeCell ref="B5:H5"/>
    <mergeCell ref="B6:H6"/>
    <mergeCell ref="B7:H7"/>
    <mergeCell ref="B8:H8"/>
    <mergeCell ref="B9:H9"/>
    <mergeCell ref="B10:H10"/>
    <mergeCell ref="A12:H12"/>
    <mergeCell ref="A30:H30"/>
    <mergeCell ref="A48:H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F00"/>
    <pageSetUpPr fitToPage="false"/>
  </sheetPr>
  <dimension ref="A1:J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9" min="2" style="0" width="18"/>
  </cols>
  <sheetData>
    <row r="1" customFormat="false" ht="22.05" hidden="false" customHeight="false" outlineLevel="0" collapsed="false">
      <c r="A1" s="2" t="s">
        <v>138</v>
      </c>
      <c r="B1" s="2"/>
      <c r="C1" s="2"/>
      <c r="D1" s="2"/>
      <c r="E1" s="2"/>
      <c r="F1" s="2"/>
      <c r="G1" s="2"/>
      <c r="H1" s="2"/>
      <c r="I1" s="2"/>
    </row>
    <row r="2" customFormat="false" ht="15" hidden="false" customHeight="false" outlineLevel="0" collapsed="false">
      <c r="A2" s="3" t="s">
        <v>139</v>
      </c>
      <c r="B2" s="3"/>
      <c r="C2" s="3"/>
      <c r="D2" s="3"/>
      <c r="E2" s="3"/>
      <c r="F2" s="3"/>
      <c r="G2" s="3"/>
      <c r="H2" s="3"/>
      <c r="I2" s="3"/>
    </row>
    <row r="4" customFormat="false" ht="15" hidden="false" customHeight="false" outlineLevel="0" collapsed="false">
      <c r="A4" s="39" t="s">
        <v>140</v>
      </c>
      <c r="B4" s="39"/>
      <c r="C4" s="39"/>
      <c r="D4" s="39"/>
      <c r="E4" s="39"/>
      <c r="F4" s="39"/>
      <c r="G4" s="39"/>
      <c r="H4" s="39"/>
      <c r="I4" s="39"/>
    </row>
    <row r="5" customFormat="false" ht="54.75" hidden="false" customHeight="true" outlineLevel="0" collapsed="false">
      <c r="A5" s="40" t="s">
        <v>141</v>
      </c>
      <c r="B5" s="8" t="s">
        <v>142</v>
      </c>
      <c r="C5" s="8"/>
      <c r="D5" s="8"/>
      <c r="E5" s="8"/>
      <c r="F5" s="8"/>
      <c r="G5" s="8"/>
      <c r="H5" s="8"/>
      <c r="I5" s="8"/>
    </row>
    <row r="6" customFormat="false" ht="54.75" hidden="false" customHeight="true" outlineLevel="0" collapsed="false">
      <c r="A6" s="40" t="s">
        <v>143</v>
      </c>
      <c r="B6" s="8" t="s">
        <v>144</v>
      </c>
      <c r="C6" s="8"/>
      <c r="D6" s="8"/>
      <c r="E6" s="8"/>
      <c r="F6" s="8"/>
      <c r="G6" s="8"/>
      <c r="H6" s="8"/>
      <c r="I6" s="8"/>
    </row>
    <row r="7" customFormat="false" ht="54.75" hidden="false" customHeight="true" outlineLevel="0" collapsed="false">
      <c r="A7" s="40" t="s">
        <v>145</v>
      </c>
      <c r="B7" s="8" t="s">
        <v>146</v>
      </c>
      <c r="C7" s="8"/>
      <c r="D7" s="8"/>
      <c r="E7" s="8"/>
      <c r="F7" s="8"/>
      <c r="G7" s="8"/>
      <c r="H7" s="8"/>
      <c r="I7" s="8"/>
    </row>
    <row r="8" customFormat="false" ht="54.75" hidden="false" customHeight="true" outlineLevel="0" collapsed="false">
      <c r="A8" s="40" t="s">
        <v>147</v>
      </c>
      <c r="B8" s="8" t="s">
        <v>148</v>
      </c>
      <c r="C8" s="8"/>
      <c r="D8" s="8"/>
      <c r="E8" s="8"/>
      <c r="F8" s="8"/>
      <c r="G8" s="8"/>
      <c r="H8" s="8"/>
      <c r="I8" s="8"/>
    </row>
    <row r="9" customFormat="false" ht="54.75" hidden="false" customHeight="true" outlineLevel="0" collapsed="false">
      <c r="A9" s="40" t="s">
        <v>149</v>
      </c>
      <c r="B9" s="8" t="s">
        <v>150</v>
      </c>
      <c r="C9" s="8"/>
      <c r="D9" s="8"/>
      <c r="E9" s="8"/>
      <c r="F9" s="8"/>
      <c r="G9" s="8"/>
      <c r="H9" s="8"/>
      <c r="I9" s="8"/>
    </row>
    <row r="10" customFormat="false" ht="54.75" hidden="false" customHeight="true" outlineLevel="0" collapsed="false">
      <c r="A10" s="40" t="s">
        <v>151</v>
      </c>
      <c r="B10" s="8" t="s">
        <v>152</v>
      </c>
      <c r="C10" s="8"/>
      <c r="D10" s="8"/>
      <c r="E10" s="8"/>
      <c r="F10" s="8"/>
      <c r="G10" s="8"/>
      <c r="H10" s="8"/>
      <c r="I10" s="8"/>
    </row>
    <row r="12" customFormat="false" ht="15" hidden="false" customHeight="false" outlineLevel="0" collapsed="false">
      <c r="A12" s="39" t="s">
        <v>153</v>
      </c>
      <c r="B12" s="39"/>
      <c r="C12" s="39"/>
      <c r="D12" s="39"/>
      <c r="E12" s="39"/>
      <c r="F12" s="39"/>
      <c r="G12" s="39"/>
      <c r="H12" s="39"/>
      <c r="I12" s="39"/>
    </row>
    <row r="13" customFormat="false" ht="15" hidden="false" customHeight="false" outlineLevel="0" collapsed="false">
      <c r="A13" s="14"/>
      <c r="C13" s="14" t="s">
        <v>154</v>
      </c>
      <c r="D13" s="14"/>
      <c r="E13" s="14" t="s">
        <v>155</v>
      </c>
      <c r="F13" s="14"/>
      <c r="G13" s="14" t="s">
        <v>156</v>
      </c>
      <c r="H13" s="14"/>
      <c r="I13" s="14" t="s">
        <v>157</v>
      </c>
      <c r="J13" s="14"/>
    </row>
    <row r="14" customFormat="false" ht="15" hidden="false" customHeight="false" outlineLevel="0" collapsed="false">
      <c r="A14" s="41" t="s">
        <v>158</v>
      </c>
      <c r="C14" s="42" t="s">
        <v>159</v>
      </c>
      <c r="D14" s="42"/>
      <c r="E14" s="42" t="s">
        <v>160</v>
      </c>
      <c r="F14" s="42"/>
      <c r="G14" s="42" t="s">
        <v>161</v>
      </c>
      <c r="H14" s="42"/>
      <c r="I14" s="42" t="s">
        <v>162</v>
      </c>
      <c r="J14" s="42"/>
    </row>
    <row r="15" customFormat="false" ht="15" hidden="false" customHeight="false" outlineLevel="0" collapsed="false">
      <c r="A15" s="41" t="s">
        <v>163</v>
      </c>
      <c r="C15" s="42" t="s">
        <v>164</v>
      </c>
      <c r="D15" s="42"/>
      <c r="E15" s="42" t="s">
        <v>165</v>
      </c>
      <c r="F15" s="42"/>
      <c r="G15" s="42" t="s">
        <v>166</v>
      </c>
      <c r="H15" s="42"/>
      <c r="I15" s="42" t="s">
        <v>167</v>
      </c>
      <c r="J15" s="42"/>
    </row>
    <row r="16" customFormat="false" ht="15" hidden="false" customHeight="false" outlineLevel="0" collapsed="false">
      <c r="A16" s="41" t="s">
        <v>168</v>
      </c>
      <c r="C16" s="43" t="s">
        <v>169</v>
      </c>
      <c r="D16" s="43"/>
      <c r="E16" s="44" t="s">
        <v>170</v>
      </c>
      <c r="F16" s="44"/>
      <c r="G16" s="45" t="s">
        <v>171</v>
      </c>
      <c r="H16" s="45"/>
      <c r="I16" s="46" t="s">
        <v>172</v>
      </c>
      <c r="J16" s="46"/>
    </row>
    <row r="17" customFormat="false" ht="15" hidden="false" customHeight="false" outlineLevel="0" collapsed="false">
      <c r="A17" s="41" t="s">
        <v>173</v>
      </c>
      <c r="C17" s="43" t="s">
        <v>174</v>
      </c>
      <c r="D17" s="43"/>
      <c r="E17" s="44" t="s">
        <v>175</v>
      </c>
      <c r="F17" s="44"/>
      <c r="G17" s="45" t="s">
        <v>176</v>
      </c>
      <c r="H17" s="45"/>
      <c r="I17" s="46" t="s">
        <v>177</v>
      </c>
      <c r="J17" s="46"/>
    </row>
    <row r="18" customFormat="false" ht="15" hidden="false" customHeight="false" outlineLevel="0" collapsed="false">
      <c r="A18" s="41" t="s">
        <v>178</v>
      </c>
      <c r="C18" s="43" t="s">
        <v>54</v>
      </c>
      <c r="D18" s="43"/>
      <c r="E18" s="44" t="s">
        <v>179</v>
      </c>
      <c r="F18" s="44"/>
      <c r="G18" s="45" t="s">
        <v>180</v>
      </c>
      <c r="H18" s="45"/>
      <c r="I18" s="46" t="s">
        <v>181</v>
      </c>
      <c r="J18" s="46"/>
    </row>
    <row r="19" customFormat="false" ht="15" hidden="false" customHeight="false" outlineLevel="0" collapsed="false">
      <c r="A19" s="41" t="s">
        <v>182</v>
      </c>
      <c r="C19" s="43" t="s">
        <v>54</v>
      </c>
      <c r="D19" s="43"/>
      <c r="E19" s="44" t="s">
        <v>183</v>
      </c>
      <c r="F19" s="44"/>
      <c r="G19" s="45" t="s">
        <v>184</v>
      </c>
      <c r="H19" s="45"/>
      <c r="I19" s="46" t="s">
        <v>185</v>
      </c>
      <c r="J19" s="46"/>
    </row>
    <row r="20" customFormat="false" ht="15" hidden="false" customHeight="false" outlineLevel="0" collapsed="false">
      <c r="A20" s="41" t="s">
        <v>186</v>
      </c>
      <c r="C20" s="43" t="s">
        <v>54</v>
      </c>
      <c r="D20" s="43"/>
      <c r="E20" s="44" t="s">
        <v>187</v>
      </c>
      <c r="F20" s="44"/>
      <c r="G20" s="45" t="s">
        <v>188</v>
      </c>
      <c r="H20" s="45"/>
      <c r="I20" s="46" t="s">
        <v>189</v>
      </c>
      <c r="J20" s="46"/>
    </row>
    <row r="21" customFormat="false" ht="15" hidden="false" customHeight="false" outlineLevel="0" collapsed="false">
      <c r="A21" s="41" t="s">
        <v>190</v>
      </c>
      <c r="C21" s="43" t="s">
        <v>54</v>
      </c>
      <c r="D21" s="43"/>
      <c r="E21" s="44" t="s">
        <v>54</v>
      </c>
      <c r="F21" s="44"/>
      <c r="G21" s="45" t="s">
        <v>191</v>
      </c>
      <c r="H21" s="45"/>
      <c r="I21" s="46" t="s">
        <v>192</v>
      </c>
      <c r="J21" s="46"/>
    </row>
    <row r="22" customFormat="false" ht="15" hidden="false" customHeight="false" outlineLevel="0" collapsed="false">
      <c r="A22" s="41" t="s">
        <v>193</v>
      </c>
      <c r="C22" s="43" t="s">
        <v>194</v>
      </c>
      <c r="D22" s="43"/>
      <c r="E22" s="44" t="s">
        <v>195</v>
      </c>
      <c r="F22" s="44"/>
      <c r="G22" s="45" t="s">
        <v>196</v>
      </c>
      <c r="H22" s="45"/>
      <c r="I22" s="46" t="s">
        <v>197</v>
      </c>
      <c r="J22" s="46"/>
    </row>
    <row r="23" customFormat="false" ht="15" hidden="false" customHeight="false" outlineLevel="0" collapsed="false">
      <c r="A23" s="41" t="s">
        <v>198</v>
      </c>
      <c r="C23" s="43" t="s">
        <v>199</v>
      </c>
      <c r="D23" s="43"/>
      <c r="E23" s="44" t="s">
        <v>200</v>
      </c>
      <c r="F23" s="44"/>
      <c r="G23" s="45" t="s">
        <v>201</v>
      </c>
      <c r="H23" s="45"/>
      <c r="I23" s="46" t="s">
        <v>202</v>
      </c>
      <c r="J23" s="46"/>
    </row>
    <row r="24" customFormat="false" ht="15" hidden="false" customHeight="false" outlineLevel="0" collapsed="false">
      <c r="A24" s="41" t="s">
        <v>203</v>
      </c>
      <c r="C24" s="43" t="s">
        <v>204</v>
      </c>
      <c r="D24" s="43"/>
      <c r="E24" s="44" t="s">
        <v>205</v>
      </c>
      <c r="F24" s="44"/>
      <c r="G24" s="45" t="s">
        <v>206</v>
      </c>
      <c r="H24" s="45"/>
      <c r="I24" s="46" t="s">
        <v>207</v>
      </c>
      <c r="J24" s="46"/>
    </row>
    <row r="25" customFormat="false" ht="15" hidden="false" customHeight="false" outlineLevel="0" collapsed="false">
      <c r="A25" s="41" t="s">
        <v>208</v>
      </c>
      <c r="C25" s="43" t="s">
        <v>209</v>
      </c>
      <c r="D25" s="43"/>
      <c r="E25" s="44" t="s">
        <v>210</v>
      </c>
      <c r="F25" s="44"/>
      <c r="G25" s="45" t="s">
        <v>211</v>
      </c>
      <c r="H25" s="45"/>
      <c r="I25" s="46" t="s">
        <v>212</v>
      </c>
      <c r="J25" s="46"/>
    </row>
    <row r="26" customFormat="false" ht="15" hidden="false" customHeight="false" outlineLevel="0" collapsed="false">
      <c r="A26" s="41" t="s">
        <v>97</v>
      </c>
      <c r="C26" s="47" t="s">
        <v>213</v>
      </c>
      <c r="D26" s="47"/>
      <c r="E26" s="47" t="s">
        <v>213</v>
      </c>
      <c r="F26" s="47"/>
      <c r="G26" s="47" t="s">
        <v>213</v>
      </c>
      <c r="H26" s="47"/>
      <c r="I26" s="47" t="s">
        <v>213</v>
      </c>
      <c r="J26" s="47"/>
    </row>
    <row r="27" customFormat="false" ht="15" hidden="false" customHeight="false" outlineLevel="0" collapsed="false">
      <c r="A27" s="41" t="s">
        <v>214</v>
      </c>
      <c r="C27" s="47" t="s">
        <v>215</v>
      </c>
      <c r="D27" s="47"/>
      <c r="E27" s="47" t="s">
        <v>215</v>
      </c>
      <c r="F27" s="47"/>
      <c r="G27" s="47" t="s">
        <v>216</v>
      </c>
      <c r="H27" s="47"/>
      <c r="I27" s="47" t="s">
        <v>217</v>
      </c>
      <c r="J27" s="47"/>
    </row>
    <row r="29" customFormat="false" ht="15" hidden="false" customHeight="false" outlineLevel="0" collapsed="false">
      <c r="A29" s="39" t="s">
        <v>218</v>
      </c>
      <c r="B29" s="39"/>
      <c r="C29" s="39"/>
      <c r="D29" s="39"/>
      <c r="E29" s="39"/>
      <c r="F29" s="39"/>
      <c r="G29" s="39"/>
      <c r="H29" s="39"/>
      <c r="I29" s="39"/>
    </row>
    <row r="30" customFormat="false" ht="15" hidden="false" customHeight="false" outlineLevel="0" collapsed="false">
      <c r="A30" s="14" t="s">
        <v>219</v>
      </c>
      <c r="B30" s="14" t="s">
        <v>220</v>
      </c>
      <c r="C30" s="14"/>
      <c r="D30" s="14" t="s">
        <v>221</v>
      </c>
      <c r="E30" s="14"/>
      <c r="F30" s="14" t="s">
        <v>222</v>
      </c>
      <c r="G30" s="14" t="s">
        <v>223</v>
      </c>
      <c r="H30" s="14" t="s">
        <v>224</v>
      </c>
    </row>
    <row r="31" customFormat="false" ht="34.5" hidden="false" customHeight="true" outlineLevel="0" collapsed="false">
      <c r="A31" s="48" t="s">
        <v>225</v>
      </c>
      <c r="B31" s="49" t="s">
        <v>226</v>
      </c>
      <c r="C31" s="49"/>
      <c r="D31" s="49" t="s">
        <v>227</v>
      </c>
      <c r="E31" s="49"/>
      <c r="F31" s="50" t="s">
        <v>228</v>
      </c>
      <c r="G31" s="51" t="s">
        <v>229</v>
      </c>
      <c r="H31" s="52" t="s">
        <v>230</v>
      </c>
    </row>
    <row r="32" customFormat="false" ht="34.5" hidden="false" customHeight="true" outlineLevel="0" collapsed="false">
      <c r="A32" s="48" t="s">
        <v>231</v>
      </c>
      <c r="B32" s="49" t="s">
        <v>232</v>
      </c>
      <c r="C32" s="49"/>
      <c r="D32" s="49" t="s">
        <v>233</v>
      </c>
      <c r="E32" s="49"/>
      <c r="F32" s="50" t="s">
        <v>234</v>
      </c>
      <c r="G32" s="51" t="s">
        <v>235</v>
      </c>
      <c r="H32" s="52" t="s">
        <v>236</v>
      </c>
    </row>
    <row r="33" customFormat="false" ht="34.5" hidden="false" customHeight="true" outlineLevel="0" collapsed="false">
      <c r="A33" s="48" t="s">
        <v>237</v>
      </c>
      <c r="B33" s="49" t="s">
        <v>238</v>
      </c>
      <c r="C33" s="49"/>
      <c r="D33" s="49" t="s">
        <v>239</v>
      </c>
      <c r="E33" s="49"/>
      <c r="F33" s="50" t="s">
        <v>240</v>
      </c>
      <c r="G33" s="51" t="s">
        <v>241</v>
      </c>
      <c r="H33" s="52" t="s">
        <v>242</v>
      </c>
    </row>
    <row r="34" customFormat="false" ht="34.5" hidden="false" customHeight="true" outlineLevel="0" collapsed="false">
      <c r="A34" s="48" t="s">
        <v>243</v>
      </c>
      <c r="B34" s="49" t="s">
        <v>244</v>
      </c>
      <c r="C34" s="49"/>
      <c r="D34" s="49" t="s">
        <v>245</v>
      </c>
      <c r="E34" s="49"/>
      <c r="F34" s="50" t="s">
        <v>246</v>
      </c>
      <c r="G34" s="51" t="s">
        <v>247</v>
      </c>
      <c r="H34" s="52" t="s">
        <v>248</v>
      </c>
    </row>
    <row r="35" customFormat="false" ht="34.5" hidden="false" customHeight="true" outlineLevel="0" collapsed="false">
      <c r="A35" s="48" t="s">
        <v>249</v>
      </c>
      <c r="B35" s="49" t="s">
        <v>250</v>
      </c>
      <c r="C35" s="49"/>
      <c r="D35" s="49" t="s">
        <v>251</v>
      </c>
      <c r="E35" s="49"/>
      <c r="F35" s="50" t="s">
        <v>252</v>
      </c>
      <c r="G35" s="51" t="s">
        <v>253</v>
      </c>
      <c r="H35" s="52" t="s">
        <v>254</v>
      </c>
    </row>
    <row r="36" customFormat="false" ht="34.5" hidden="false" customHeight="true" outlineLevel="0" collapsed="false">
      <c r="A36" s="48" t="s">
        <v>255</v>
      </c>
      <c r="B36" s="49" t="s">
        <v>256</v>
      </c>
      <c r="C36" s="49"/>
      <c r="D36" s="49" t="s">
        <v>257</v>
      </c>
      <c r="E36" s="49"/>
      <c r="F36" s="50" t="s">
        <v>246</v>
      </c>
      <c r="G36" s="51" t="s">
        <v>258</v>
      </c>
      <c r="H36" s="52" t="s">
        <v>259</v>
      </c>
    </row>
    <row r="37" customFormat="false" ht="34.5" hidden="false" customHeight="true" outlineLevel="0" collapsed="false">
      <c r="A37" s="48" t="s">
        <v>260</v>
      </c>
      <c r="B37" s="49" t="s">
        <v>261</v>
      </c>
      <c r="C37" s="49"/>
      <c r="D37" s="49" t="s">
        <v>262</v>
      </c>
      <c r="E37" s="49"/>
      <c r="F37" s="50" t="s">
        <v>263</v>
      </c>
      <c r="G37" s="51" t="s">
        <v>241</v>
      </c>
      <c r="H37" s="52" t="s">
        <v>264</v>
      </c>
    </row>
    <row r="38" customFormat="false" ht="34.5" hidden="false" customHeight="true" outlineLevel="0" collapsed="false">
      <c r="A38" s="48" t="s">
        <v>265</v>
      </c>
      <c r="B38" s="49" t="s">
        <v>266</v>
      </c>
      <c r="C38" s="49"/>
      <c r="D38" s="49" t="s">
        <v>267</v>
      </c>
      <c r="E38" s="49"/>
      <c r="F38" s="50" t="s">
        <v>268</v>
      </c>
      <c r="G38" s="51" t="s">
        <v>258</v>
      </c>
      <c r="H38" s="52" t="s">
        <v>269</v>
      </c>
    </row>
    <row r="39" customFormat="false" ht="34.5" hidden="false" customHeight="true" outlineLevel="0" collapsed="false">
      <c r="A39" s="48" t="s">
        <v>270</v>
      </c>
      <c r="B39" s="49" t="s">
        <v>271</v>
      </c>
      <c r="C39" s="49"/>
      <c r="D39" s="49" t="s">
        <v>272</v>
      </c>
      <c r="E39" s="49"/>
      <c r="F39" s="50" t="s">
        <v>240</v>
      </c>
      <c r="G39" s="51" t="s">
        <v>247</v>
      </c>
      <c r="H39" s="52" t="s">
        <v>273</v>
      </c>
    </row>
    <row r="40" customFormat="false" ht="34.5" hidden="false" customHeight="true" outlineLevel="0" collapsed="false">
      <c r="A40" s="48" t="s">
        <v>274</v>
      </c>
      <c r="B40" s="49" t="s">
        <v>275</v>
      </c>
      <c r="C40" s="49"/>
      <c r="D40" s="49" t="s">
        <v>276</v>
      </c>
      <c r="E40" s="49"/>
      <c r="F40" s="50" t="s">
        <v>234</v>
      </c>
      <c r="G40" s="51" t="s">
        <v>241</v>
      </c>
      <c r="H40" s="52" t="s">
        <v>277</v>
      </c>
    </row>
    <row r="42" customFormat="false" ht="15" hidden="false" customHeight="false" outlineLevel="0" collapsed="false">
      <c r="A42" s="39" t="s">
        <v>278</v>
      </c>
      <c r="B42" s="39"/>
      <c r="C42" s="39"/>
      <c r="D42" s="39"/>
      <c r="E42" s="39"/>
      <c r="F42" s="39"/>
      <c r="G42" s="39"/>
      <c r="H42" s="39"/>
      <c r="I42" s="39"/>
    </row>
    <row r="43" customFormat="false" ht="15" hidden="false" customHeight="false" outlineLevel="0" collapsed="false">
      <c r="A43" s="14" t="s">
        <v>279</v>
      </c>
      <c r="B43" s="14" t="s">
        <v>105</v>
      </c>
      <c r="C43" s="14" t="s">
        <v>106</v>
      </c>
      <c r="D43" s="14" t="s">
        <v>107</v>
      </c>
      <c r="E43" s="14" t="s">
        <v>108</v>
      </c>
      <c r="F43" s="14" t="s">
        <v>109</v>
      </c>
      <c r="G43" s="14" t="s">
        <v>280</v>
      </c>
    </row>
    <row r="44" customFormat="false" ht="15" hidden="false" customHeight="false" outlineLevel="0" collapsed="false">
      <c r="A44" s="53" t="s">
        <v>281</v>
      </c>
      <c r="B44" s="54" t="n">
        <v>12564</v>
      </c>
      <c r="C44" s="54" t="n">
        <v>69034</v>
      </c>
      <c r="D44" s="54" t="n">
        <v>264507</v>
      </c>
      <c r="E44" s="54" t="n">
        <v>629748</v>
      </c>
      <c r="F44" s="54" t="n">
        <v>1055040</v>
      </c>
      <c r="G44" s="54" t="n">
        <f aca="false">SUM(B44:F44)</f>
        <v>2030893</v>
      </c>
    </row>
    <row r="45" customFormat="false" ht="15" hidden="false" customHeight="false" outlineLevel="0" collapsed="false">
      <c r="A45" s="53" t="s">
        <v>282</v>
      </c>
      <c r="B45" s="54" t="n">
        <v>1800</v>
      </c>
      <c r="C45" s="54" t="n">
        <v>14400</v>
      </c>
      <c r="D45" s="54" t="n">
        <v>42000</v>
      </c>
      <c r="E45" s="54" t="n">
        <v>84000</v>
      </c>
      <c r="F45" s="54" t="n">
        <v>120000</v>
      </c>
      <c r="G45" s="54" t="n">
        <f aca="false">SUM(B45:F45)</f>
        <v>262200</v>
      </c>
    </row>
    <row r="46" customFormat="false" ht="15" hidden="false" customHeight="false" outlineLevel="0" collapsed="false">
      <c r="A46" s="55" t="s">
        <v>283</v>
      </c>
      <c r="B46" s="56" t="n">
        <f aca="false">B44+B45</f>
        <v>14364</v>
      </c>
      <c r="C46" s="56" t="n">
        <f aca="false">C44+C45</f>
        <v>83434</v>
      </c>
      <c r="D46" s="56" t="n">
        <f aca="false">D44+D45</f>
        <v>306507</v>
      </c>
      <c r="E46" s="56" t="n">
        <f aca="false">E44+E45</f>
        <v>713748</v>
      </c>
      <c r="F46" s="56" t="n">
        <f aca="false">F44+F45</f>
        <v>1175040</v>
      </c>
      <c r="G46" s="56" t="n">
        <f aca="false">SUM(B46:F46)</f>
        <v>2293093</v>
      </c>
    </row>
    <row r="47" customFormat="false" ht="15" hidden="false" customHeight="false" outlineLevel="0" collapsed="false">
      <c r="A47" s="53"/>
      <c r="B47" s="57"/>
      <c r="C47" s="57"/>
      <c r="D47" s="57"/>
      <c r="E47" s="57"/>
      <c r="F47" s="57"/>
      <c r="G47" s="57"/>
    </row>
    <row r="48" customFormat="false" ht="15" hidden="false" customHeight="false" outlineLevel="0" collapsed="false">
      <c r="A48" s="58" t="s">
        <v>284</v>
      </c>
      <c r="B48" s="59" t="n">
        <v>2000</v>
      </c>
      <c r="C48" s="59" t="n">
        <v>6000</v>
      </c>
      <c r="D48" s="59" t="n">
        <v>8000</v>
      </c>
      <c r="E48" s="59" t="n">
        <v>8000</v>
      </c>
      <c r="F48" s="59" t="n">
        <v>8000</v>
      </c>
      <c r="G48" s="59" t="n">
        <f aca="false">SUM(B48:F48)</f>
        <v>32000</v>
      </c>
    </row>
    <row r="49" customFormat="false" ht="15" hidden="false" customHeight="false" outlineLevel="0" collapsed="false">
      <c r="A49" s="58" t="s">
        <v>285</v>
      </c>
      <c r="B49" s="59" t="n">
        <v>0</v>
      </c>
      <c r="C49" s="59" t="n">
        <v>8000</v>
      </c>
      <c r="D49" s="59" t="n">
        <v>24000</v>
      </c>
      <c r="E49" s="59" t="n">
        <v>32000</v>
      </c>
      <c r="F49" s="59" t="n">
        <v>32000</v>
      </c>
      <c r="G49" s="59" t="n">
        <f aca="false">SUM(B49:F49)</f>
        <v>96000</v>
      </c>
    </row>
    <row r="50" customFormat="false" ht="15" hidden="false" customHeight="false" outlineLevel="0" collapsed="false">
      <c r="A50" s="58" t="s">
        <v>286</v>
      </c>
      <c r="B50" s="59" t="n">
        <v>0</v>
      </c>
      <c r="C50" s="59" t="n">
        <v>0</v>
      </c>
      <c r="D50" s="59" t="n">
        <v>25000</v>
      </c>
      <c r="E50" s="59" t="n">
        <v>75000</v>
      </c>
      <c r="F50" s="59" t="n">
        <v>100000</v>
      </c>
      <c r="G50" s="59" t="n">
        <f aca="false">SUM(B50:F50)</f>
        <v>200000</v>
      </c>
    </row>
    <row r="51" customFormat="false" ht="15" hidden="false" customHeight="false" outlineLevel="0" collapsed="false">
      <c r="A51" s="58" t="s">
        <v>287</v>
      </c>
      <c r="B51" s="59" t="n">
        <v>0</v>
      </c>
      <c r="C51" s="59" t="n">
        <v>0</v>
      </c>
      <c r="D51" s="59" t="n">
        <v>0</v>
      </c>
      <c r="E51" s="59" t="n">
        <v>50000</v>
      </c>
      <c r="F51" s="59" t="n">
        <v>200000</v>
      </c>
      <c r="G51" s="59" t="n">
        <f aca="false">SUM(B51:F51)</f>
        <v>250000</v>
      </c>
    </row>
    <row r="52" customFormat="false" ht="15" hidden="false" customHeight="false" outlineLevel="0" collapsed="false">
      <c r="A52" s="55" t="s">
        <v>288</v>
      </c>
      <c r="B52" s="56" t="n">
        <f aca="false">SUM(B48:B51)</f>
        <v>2000</v>
      </c>
      <c r="C52" s="56" t="n">
        <f aca="false">SUM(C48:C51)</f>
        <v>14000</v>
      </c>
      <c r="D52" s="56" t="n">
        <f aca="false">SUM(D48:D51)</f>
        <v>57000</v>
      </c>
      <c r="E52" s="56" t="n">
        <f aca="false">SUM(E48:E51)</f>
        <v>165000</v>
      </c>
      <c r="F52" s="56" t="n">
        <f aca="false">SUM(F48:F51)</f>
        <v>340000</v>
      </c>
      <c r="G52" s="56" t="n">
        <f aca="false">SUM(B52:F52)</f>
        <v>578000</v>
      </c>
    </row>
    <row r="53" customFormat="false" ht="15" hidden="false" customHeight="false" outlineLevel="0" collapsed="false">
      <c r="A53" s="53"/>
      <c r="B53" s="57"/>
      <c r="C53" s="57"/>
      <c r="D53" s="57"/>
      <c r="E53" s="57"/>
      <c r="F53" s="57"/>
      <c r="G53" s="57"/>
    </row>
    <row r="54" customFormat="false" ht="15" hidden="false" customHeight="false" outlineLevel="0" collapsed="false">
      <c r="A54" s="60" t="s">
        <v>289</v>
      </c>
      <c r="B54" s="61" t="n">
        <f aca="false">B46+B52</f>
        <v>16364</v>
      </c>
      <c r="C54" s="61" t="n">
        <f aca="false">C46+C52</f>
        <v>97434</v>
      </c>
      <c r="D54" s="61" t="n">
        <f aca="false">D46+D52</f>
        <v>363507</v>
      </c>
      <c r="E54" s="61" t="n">
        <f aca="false">E46+E52</f>
        <v>878748</v>
      </c>
      <c r="F54" s="61" t="n">
        <f aca="false">F46+F52</f>
        <v>1515040</v>
      </c>
      <c r="G54" s="61" t="n">
        <f aca="false">SUM(B54:F54)</f>
        <v>2871093</v>
      </c>
    </row>
    <row r="55" customFormat="false" ht="15" hidden="false" customHeight="false" outlineLevel="0" collapsed="false">
      <c r="A55" s="53" t="s">
        <v>290</v>
      </c>
      <c r="B55" s="54" t="n">
        <v>6000</v>
      </c>
      <c r="C55" s="54" t="n">
        <v>18000</v>
      </c>
      <c r="D55" s="54" t="n">
        <v>48000</v>
      </c>
      <c r="E55" s="54" t="n">
        <v>84000</v>
      </c>
      <c r="F55" s="54" t="n">
        <v>120000</v>
      </c>
      <c r="G55" s="54" t="n">
        <f aca="false">SUM(B55:F55)</f>
        <v>276000</v>
      </c>
    </row>
    <row r="56" customFormat="false" ht="15" hidden="false" customHeight="false" outlineLevel="0" collapsed="false">
      <c r="A56" s="60" t="s">
        <v>291</v>
      </c>
      <c r="B56" s="61" t="n">
        <f aca="false">B54-B55</f>
        <v>10364</v>
      </c>
      <c r="C56" s="61" t="n">
        <f aca="false">C54-C55</f>
        <v>79434</v>
      </c>
      <c r="D56" s="61" t="n">
        <f aca="false">D54-D55</f>
        <v>315507</v>
      </c>
      <c r="E56" s="61" t="n">
        <f aca="false">E54-E55</f>
        <v>794748</v>
      </c>
      <c r="F56" s="61" t="n">
        <f aca="false">F54-F55</f>
        <v>1395040</v>
      </c>
      <c r="G56" s="61" t="n">
        <f aca="false">SUM(B56:F56)</f>
        <v>2595093</v>
      </c>
    </row>
    <row r="57" customFormat="false" ht="15" hidden="false" customHeight="false" outlineLevel="0" collapsed="false">
      <c r="A57" s="53"/>
      <c r="B57" s="57"/>
      <c r="C57" s="57"/>
      <c r="D57" s="57"/>
      <c r="E57" s="57"/>
      <c r="F57" s="57"/>
      <c r="G57" s="57"/>
    </row>
    <row r="58" customFormat="false" ht="15" hidden="false" customHeight="false" outlineLevel="0" collapsed="false">
      <c r="A58" s="55" t="s">
        <v>292</v>
      </c>
      <c r="B58" s="56" t="n">
        <f aca="false">B46-B55</f>
        <v>8364</v>
      </c>
      <c r="C58" s="56" t="n">
        <f aca="false">C46-C55</f>
        <v>65434</v>
      </c>
      <c r="D58" s="56" t="n">
        <f aca="false">D46-D55</f>
        <v>258507</v>
      </c>
      <c r="E58" s="56" t="n">
        <f aca="false">E46-E55</f>
        <v>629748</v>
      </c>
      <c r="F58" s="56" t="n">
        <f aca="false">F46-F55</f>
        <v>1055040</v>
      </c>
      <c r="G58" s="56" t="n">
        <f aca="false">SUM(B58:F58)</f>
        <v>2017093</v>
      </c>
    </row>
    <row r="59" customFormat="false" ht="15" hidden="false" customHeight="false" outlineLevel="0" collapsed="false">
      <c r="A59" s="55" t="s">
        <v>293</v>
      </c>
      <c r="B59" s="56" t="n">
        <f aca="false">B56-B58</f>
        <v>2000</v>
      </c>
      <c r="C59" s="56" t="n">
        <f aca="false">C56-C58</f>
        <v>14000</v>
      </c>
      <c r="D59" s="56" t="n">
        <f aca="false">D56-D58</f>
        <v>57000</v>
      </c>
      <c r="E59" s="56" t="n">
        <f aca="false">E56-E58</f>
        <v>165000</v>
      </c>
      <c r="F59" s="56" t="n">
        <f aca="false">F56-F58</f>
        <v>340000</v>
      </c>
      <c r="G59" s="56" t="n">
        <f aca="false">SUM(B59:F59)</f>
        <v>578000</v>
      </c>
    </row>
    <row r="60" customFormat="false" ht="15" hidden="false" customHeight="false" outlineLevel="0" collapsed="false">
      <c r="A60" s="55" t="s">
        <v>294</v>
      </c>
      <c r="B60" s="62" t="n">
        <f aca="false">IF(B58=0,0,B59/ABS(B58))</f>
        <v>0.239120038259206</v>
      </c>
      <c r="C60" s="62" t="n">
        <f aca="false">IF(C58=0,0,C59/ABS(C58))</f>
        <v>0.213956047314852</v>
      </c>
      <c r="D60" s="62" t="n">
        <f aca="false">IF(D58=0,0,D59/ABS(D58))</f>
        <v>0.220496930450626</v>
      </c>
      <c r="E60" s="62" t="n">
        <f aca="false">IF(E58=0,0,E59/ABS(E58))</f>
        <v>0.262009565731054</v>
      </c>
      <c r="F60" s="62" t="n">
        <f aca="false">IF(F58=0,0,F59/ABS(F58))</f>
        <v>0.322262663026994</v>
      </c>
      <c r="G60" s="62" t="n">
        <f aca="false">IF(F58=0,0,G59/ABS(G58))</f>
        <v>0.286550991947322</v>
      </c>
    </row>
    <row r="61" customFormat="false" ht="15" hidden="false" customHeight="false" outlineLevel="0" collapsed="false">
      <c r="A61" s="55" t="s">
        <v>295</v>
      </c>
      <c r="B61" s="62" t="n">
        <f aca="false">IF(B54=0,0,B52/B54)</f>
        <v>0.122219506233195</v>
      </c>
      <c r="C61" s="62" t="n">
        <f aca="false">IF(C54=0,0,C52/C54)</f>
        <v>0.143687008641747</v>
      </c>
      <c r="D61" s="62" t="n">
        <f aca="false">IF(D54=0,0,D52/D54)</f>
        <v>0.156805783657536</v>
      </c>
      <c r="E61" s="62" t="n">
        <f aca="false">IF(E54=0,0,E52/E54)</f>
        <v>0.187767141433039</v>
      </c>
      <c r="F61" s="62" t="n">
        <f aca="false">IF(F54=0,0,F52/F54)</f>
        <v>0.224416517055655</v>
      </c>
      <c r="G61" s="62" t="n">
        <f aca="false">IF(G54=0,0,G52/G54)</f>
        <v>0.201317059391667</v>
      </c>
    </row>
    <row r="63" customFormat="false" ht="15" hidden="false" customHeight="false" outlineLevel="0" collapsed="false">
      <c r="A63" s="39" t="s">
        <v>296</v>
      </c>
      <c r="B63" s="39"/>
      <c r="C63" s="39"/>
      <c r="D63" s="39"/>
      <c r="E63" s="39"/>
      <c r="F63" s="39"/>
      <c r="G63" s="39"/>
      <c r="H63" s="39"/>
      <c r="I63" s="39"/>
    </row>
    <row r="64" customFormat="false" ht="54.75" hidden="false" customHeight="true" outlineLevel="0" collapsed="false">
      <c r="A64" s="40" t="s">
        <v>297</v>
      </c>
      <c r="B64" s="8" t="s">
        <v>298</v>
      </c>
      <c r="C64" s="8"/>
      <c r="D64" s="8"/>
      <c r="E64" s="8"/>
      <c r="F64" s="8"/>
      <c r="G64" s="8"/>
      <c r="H64" s="8"/>
      <c r="I64" s="8"/>
    </row>
    <row r="65" customFormat="false" ht="54.75" hidden="false" customHeight="true" outlineLevel="0" collapsed="false">
      <c r="A65" s="40" t="s">
        <v>299</v>
      </c>
      <c r="B65" s="8" t="s">
        <v>300</v>
      </c>
      <c r="C65" s="8"/>
      <c r="D65" s="8"/>
      <c r="E65" s="8"/>
      <c r="F65" s="8"/>
      <c r="G65" s="8"/>
      <c r="H65" s="8"/>
      <c r="I65" s="8"/>
    </row>
    <row r="66" customFormat="false" ht="54.75" hidden="false" customHeight="true" outlineLevel="0" collapsed="false">
      <c r="A66" s="40" t="s">
        <v>301</v>
      </c>
      <c r="B66" s="8" t="s">
        <v>302</v>
      </c>
      <c r="C66" s="8"/>
      <c r="D66" s="8"/>
      <c r="E66" s="8"/>
      <c r="F66" s="8"/>
      <c r="G66" s="8"/>
      <c r="H66" s="8"/>
      <c r="I66" s="8"/>
    </row>
    <row r="67" customFormat="false" ht="54.75" hidden="false" customHeight="true" outlineLevel="0" collapsed="false">
      <c r="A67" s="40" t="s">
        <v>303</v>
      </c>
      <c r="B67" s="8" t="s">
        <v>304</v>
      </c>
      <c r="C67" s="8"/>
      <c r="D67" s="8"/>
      <c r="E67" s="8"/>
      <c r="F67" s="8"/>
      <c r="G67" s="8"/>
      <c r="H67" s="8"/>
      <c r="I67" s="8"/>
    </row>
    <row r="68" customFormat="false" ht="54.75" hidden="false" customHeight="true" outlineLevel="0" collapsed="false">
      <c r="A68" s="40" t="s">
        <v>305</v>
      </c>
      <c r="B68" s="8" t="s">
        <v>306</v>
      </c>
      <c r="C68" s="8"/>
      <c r="D68" s="8"/>
      <c r="E68" s="8"/>
      <c r="F68" s="8"/>
      <c r="G68" s="8"/>
      <c r="H68" s="8"/>
      <c r="I68" s="8"/>
    </row>
    <row r="69" customFormat="false" ht="54.75" hidden="false" customHeight="true" outlineLevel="0" collapsed="false">
      <c r="A69" s="40" t="s">
        <v>307</v>
      </c>
      <c r="B69" s="8" t="s">
        <v>308</v>
      </c>
      <c r="C69" s="8"/>
      <c r="D69" s="8"/>
      <c r="E69" s="8"/>
      <c r="F69" s="8"/>
      <c r="G69" s="8"/>
      <c r="H69" s="8"/>
      <c r="I69" s="8"/>
    </row>
    <row r="70" customFormat="false" ht="54.75" hidden="false" customHeight="true" outlineLevel="0" collapsed="false">
      <c r="A70" s="40" t="s">
        <v>309</v>
      </c>
      <c r="B70" s="8" t="s">
        <v>310</v>
      </c>
      <c r="C70" s="8"/>
      <c r="D70" s="8"/>
      <c r="E70" s="8"/>
      <c r="F70" s="8"/>
      <c r="G70" s="8"/>
      <c r="H70" s="8"/>
      <c r="I70" s="8"/>
    </row>
    <row r="72" customFormat="false" ht="15" hidden="false" customHeight="false" outlineLevel="0" collapsed="false">
      <c r="A72" s="39" t="s">
        <v>311</v>
      </c>
      <c r="B72" s="39"/>
      <c r="C72" s="39"/>
      <c r="D72" s="39"/>
      <c r="E72" s="39"/>
      <c r="F72" s="39"/>
      <c r="G72" s="39"/>
      <c r="H72" s="39"/>
      <c r="I72" s="39"/>
    </row>
    <row r="73" customFormat="false" ht="15" hidden="false" customHeight="false" outlineLevel="0" collapsed="false">
      <c r="A73" s="14" t="s">
        <v>312</v>
      </c>
      <c r="B73" s="14"/>
      <c r="C73" s="14" t="s">
        <v>313</v>
      </c>
      <c r="D73" s="14"/>
      <c r="E73" s="14"/>
      <c r="F73" s="14"/>
      <c r="G73" s="14" t="s">
        <v>314</v>
      </c>
      <c r="H73" s="14" t="s">
        <v>315</v>
      </c>
      <c r="I73" s="14"/>
    </row>
    <row r="74" customFormat="false" ht="39.75" hidden="false" customHeight="true" outlineLevel="0" collapsed="false">
      <c r="A74" s="63" t="s">
        <v>316</v>
      </c>
      <c r="B74" s="63"/>
      <c r="C74" s="49" t="s">
        <v>317</v>
      </c>
      <c r="D74" s="49"/>
      <c r="E74" s="49"/>
      <c r="F74" s="49"/>
      <c r="G74" s="51" t="s">
        <v>318</v>
      </c>
      <c r="H74" s="64" t="s">
        <v>319</v>
      </c>
      <c r="I74" s="64"/>
    </row>
    <row r="75" customFormat="false" ht="39.75" hidden="false" customHeight="true" outlineLevel="0" collapsed="false">
      <c r="A75" s="63" t="s">
        <v>320</v>
      </c>
      <c r="B75" s="63"/>
      <c r="C75" s="49" t="s">
        <v>321</v>
      </c>
      <c r="D75" s="49"/>
      <c r="E75" s="49"/>
      <c r="F75" s="49"/>
      <c r="G75" s="51" t="s">
        <v>322</v>
      </c>
      <c r="H75" s="64" t="s">
        <v>323</v>
      </c>
      <c r="I75" s="64"/>
    </row>
    <row r="76" customFormat="false" ht="39.75" hidden="false" customHeight="true" outlineLevel="0" collapsed="false">
      <c r="A76" s="63" t="s">
        <v>324</v>
      </c>
      <c r="B76" s="63"/>
      <c r="C76" s="49" t="s">
        <v>325</v>
      </c>
      <c r="D76" s="49"/>
      <c r="E76" s="49"/>
      <c r="F76" s="49"/>
      <c r="G76" s="51" t="s">
        <v>326</v>
      </c>
      <c r="H76" s="64" t="s">
        <v>327</v>
      </c>
      <c r="I76" s="64"/>
    </row>
    <row r="77" customFormat="false" ht="39.75" hidden="false" customHeight="true" outlineLevel="0" collapsed="false">
      <c r="A77" s="63" t="s">
        <v>328</v>
      </c>
      <c r="B77" s="63"/>
      <c r="C77" s="49" t="s">
        <v>329</v>
      </c>
      <c r="D77" s="49"/>
      <c r="E77" s="49"/>
      <c r="F77" s="49"/>
      <c r="G77" s="51" t="s">
        <v>330</v>
      </c>
      <c r="H77" s="64" t="s">
        <v>331</v>
      </c>
      <c r="I77" s="64"/>
    </row>
    <row r="78" customFormat="false" ht="39.75" hidden="false" customHeight="true" outlineLevel="0" collapsed="false">
      <c r="A78" s="63" t="s">
        <v>332</v>
      </c>
      <c r="B78" s="63"/>
      <c r="C78" s="49" t="s">
        <v>333</v>
      </c>
      <c r="D78" s="49"/>
      <c r="E78" s="49"/>
      <c r="F78" s="49"/>
      <c r="G78" s="51" t="s">
        <v>334</v>
      </c>
      <c r="H78" s="64" t="s">
        <v>335</v>
      </c>
      <c r="I78" s="64"/>
    </row>
  </sheetData>
  <mergeCells count="121">
    <mergeCell ref="A1:I1"/>
    <mergeCell ref="A2:I2"/>
    <mergeCell ref="A4:I4"/>
    <mergeCell ref="B5:I5"/>
    <mergeCell ref="B6:I6"/>
    <mergeCell ref="B7:I7"/>
    <mergeCell ref="B8:I8"/>
    <mergeCell ref="B9:I9"/>
    <mergeCell ref="B10:I10"/>
    <mergeCell ref="A12:I12"/>
    <mergeCell ref="C13:D13"/>
    <mergeCell ref="E13:F13"/>
    <mergeCell ref="G13:H13"/>
    <mergeCell ref="I13:J13"/>
    <mergeCell ref="C14:D14"/>
    <mergeCell ref="E14:F14"/>
    <mergeCell ref="G14:H14"/>
    <mergeCell ref="I14:J14"/>
    <mergeCell ref="C15:D15"/>
    <mergeCell ref="E15:F15"/>
    <mergeCell ref="G15:H15"/>
    <mergeCell ref="I15:J15"/>
    <mergeCell ref="C16:D16"/>
    <mergeCell ref="E16:F16"/>
    <mergeCell ref="G16:H16"/>
    <mergeCell ref="I16:J16"/>
    <mergeCell ref="C17:D17"/>
    <mergeCell ref="E17:F17"/>
    <mergeCell ref="G17:H17"/>
    <mergeCell ref="I17:J17"/>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C23:D23"/>
    <mergeCell ref="E23:F23"/>
    <mergeCell ref="G23:H23"/>
    <mergeCell ref="I23:J23"/>
    <mergeCell ref="C24:D24"/>
    <mergeCell ref="E24:F24"/>
    <mergeCell ref="G24:H24"/>
    <mergeCell ref="I24:J24"/>
    <mergeCell ref="C25:D25"/>
    <mergeCell ref="E25:F25"/>
    <mergeCell ref="G25:H25"/>
    <mergeCell ref="I25:J25"/>
    <mergeCell ref="C26:D26"/>
    <mergeCell ref="E26:F26"/>
    <mergeCell ref="G26:H26"/>
    <mergeCell ref="I26:J26"/>
    <mergeCell ref="C27:D27"/>
    <mergeCell ref="E27:F27"/>
    <mergeCell ref="G27:H27"/>
    <mergeCell ref="I27:J27"/>
    <mergeCell ref="A29:I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A42:I42"/>
    <mergeCell ref="A63:I63"/>
    <mergeCell ref="B64:I64"/>
    <mergeCell ref="B65:I65"/>
    <mergeCell ref="B66:I66"/>
    <mergeCell ref="B67:I67"/>
    <mergeCell ref="B68:I68"/>
    <mergeCell ref="B69:I69"/>
    <mergeCell ref="B70:I70"/>
    <mergeCell ref="A72:I72"/>
    <mergeCell ref="A73:B73"/>
    <mergeCell ref="C73:F73"/>
    <mergeCell ref="H73:I73"/>
    <mergeCell ref="A74:B74"/>
    <mergeCell ref="C74:F74"/>
    <mergeCell ref="H74:I74"/>
    <mergeCell ref="A75:B75"/>
    <mergeCell ref="C75:F75"/>
    <mergeCell ref="H75:I75"/>
    <mergeCell ref="A76:B76"/>
    <mergeCell ref="C76:F76"/>
    <mergeCell ref="H76:I76"/>
    <mergeCell ref="A77:B77"/>
    <mergeCell ref="C77:F77"/>
    <mergeCell ref="H77:I77"/>
    <mergeCell ref="A78:B78"/>
    <mergeCell ref="C78:F78"/>
    <mergeCell ref="H78:I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600"/>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0"/>
    <col collapsed="false" customWidth="true" hidden="false" outlineLevel="0" max="6" min="4" style="1" width="18"/>
    <col collapsed="false" customWidth="true" hidden="false" outlineLevel="0" max="7" min="7" style="1" width="30"/>
    <col collapsed="false" customWidth="true" hidden="false" outlineLevel="0" max="8" min="8" style="1" width="12"/>
  </cols>
  <sheetData>
    <row r="1" customFormat="false" ht="21.75" hidden="false" customHeight="true" outlineLevel="0" collapsed="false">
      <c r="A1" s="2" t="s">
        <v>336</v>
      </c>
      <c r="B1" s="2"/>
      <c r="C1" s="2"/>
      <c r="D1" s="2"/>
      <c r="E1" s="2"/>
      <c r="F1" s="2"/>
      <c r="G1" s="2"/>
      <c r="H1" s="2"/>
    </row>
    <row r="3" customFormat="false" ht="15" hidden="false" customHeight="true" outlineLevel="0" collapsed="false">
      <c r="A3" s="65" t="s">
        <v>337</v>
      </c>
      <c r="B3" s="65"/>
      <c r="C3" s="65"/>
      <c r="D3" s="65"/>
      <c r="E3" s="65"/>
      <c r="F3" s="65"/>
      <c r="G3" s="65"/>
      <c r="H3" s="65"/>
    </row>
    <row r="4" customFormat="false" ht="15" hidden="false" customHeight="true" outlineLevel="0" collapsed="false">
      <c r="A4" s="14" t="s">
        <v>338</v>
      </c>
      <c r="B4" s="14" t="s">
        <v>339</v>
      </c>
      <c r="C4" s="14" t="s">
        <v>340</v>
      </c>
      <c r="D4" s="14" t="s">
        <v>341</v>
      </c>
      <c r="E4" s="14" t="s">
        <v>342</v>
      </c>
      <c r="F4" s="14" t="s">
        <v>343</v>
      </c>
      <c r="G4" s="14" t="s">
        <v>344</v>
      </c>
    </row>
    <row r="5" customFormat="false" ht="15" hidden="false" customHeight="true" outlineLevel="0" collapsed="false">
      <c r="A5" s="66" t="s">
        <v>345</v>
      </c>
      <c r="B5" s="51" t="s">
        <v>346</v>
      </c>
      <c r="C5" s="51" t="s">
        <v>189</v>
      </c>
      <c r="D5" s="51" t="s">
        <v>189</v>
      </c>
      <c r="E5" s="51" t="s">
        <v>347</v>
      </c>
      <c r="F5" s="51" t="s">
        <v>348</v>
      </c>
      <c r="G5" s="51" t="s">
        <v>349</v>
      </c>
    </row>
    <row r="6" customFormat="false" ht="15" hidden="false" customHeight="true" outlineLevel="0" collapsed="false">
      <c r="A6" s="66" t="s">
        <v>350</v>
      </c>
      <c r="B6" s="51" t="s">
        <v>351</v>
      </c>
      <c r="C6" s="51" t="s">
        <v>352</v>
      </c>
      <c r="D6" s="51" t="s">
        <v>352</v>
      </c>
      <c r="E6" s="51" t="s">
        <v>347</v>
      </c>
      <c r="F6" s="51" t="s">
        <v>353</v>
      </c>
      <c r="G6" s="51" t="s">
        <v>349</v>
      </c>
    </row>
    <row r="7" customFormat="false" ht="15" hidden="false" customHeight="true" outlineLevel="0" collapsed="false">
      <c r="A7" s="66" t="s">
        <v>354</v>
      </c>
      <c r="B7" s="51" t="s">
        <v>346</v>
      </c>
      <c r="C7" s="51" t="s">
        <v>189</v>
      </c>
      <c r="D7" s="51" t="s">
        <v>189</v>
      </c>
      <c r="E7" s="51" t="s">
        <v>347</v>
      </c>
      <c r="F7" s="51" t="s">
        <v>355</v>
      </c>
      <c r="G7" s="51" t="s">
        <v>349</v>
      </c>
    </row>
    <row r="8" customFormat="false" ht="15" hidden="false" customHeight="true" outlineLevel="0" collapsed="false">
      <c r="A8" s="66" t="s">
        <v>356</v>
      </c>
      <c r="B8" s="51" t="s">
        <v>357</v>
      </c>
      <c r="C8" s="51" t="s">
        <v>189</v>
      </c>
      <c r="D8" s="51" t="s">
        <v>189</v>
      </c>
      <c r="E8" s="51" t="s">
        <v>347</v>
      </c>
      <c r="F8" s="51" t="s">
        <v>358</v>
      </c>
      <c r="G8" s="51" t="s">
        <v>359</v>
      </c>
    </row>
    <row r="9" customFormat="false" ht="15" hidden="false" customHeight="true" outlineLevel="0" collapsed="false">
      <c r="A9" s="66" t="s">
        <v>360</v>
      </c>
      <c r="B9" s="51" t="s">
        <v>361</v>
      </c>
      <c r="C9" s="51" t="s">
        <v>362</v>
      </c>
      <c r="D9" s="51" t="s">
        <v>362</v>
      </c>
      <c r="E9" s="51" t="s">
        <v>347</v>
      </c>
      <c r="F9" s="51" t="s">
        <v>363</v>
      </c>
      <c r="G9" s="51" t="s">
        <v>359</v>
      </c>
    </row>
    <row r="10" customFormat="false" ht="15" hidden="false" customHeight="true" outlineLevel="0" collapsed="false">
      <c r="A10" s="66" t="s">
        <v>364</v>
      </c>
      <c r="B10" s="51" t="s">
        <v>365</v>
      </c>
      <c r="C10" s="51" t="s">
        <v>366</v>
      </c>
      <c r="D10" s="51" t="s">
        <v>366</v>
      </c>
      <c r="E10" s="51" t="s">
        <v>347</v>
      </c>
      <c r="F10" s="51" t="s">
        <v>367</v>
      </c>
      <c r="G10" s="51" t="s">
        <v>359</v>
      </c>
    </row>
    <row r="11" customFormat="false" ht="15" hidden="false" customHeight="true" outlineLevel="0" collapsed="false">
      <c r="A11" s="66" t="s">
        <v>368</v>
      </c>
      <c r="B11" s="51" t="s">
        <v>369</v>
      </c>
      <c r="C11" s="51" t="s">
        <v>370</v>
      </c>
      <c r="D11" s="51" t="s">
        <v>370</v>
      </c>
      <c r="E11" s="51" t="s">
        <v>347</v>
      </c>
      <c r="F11" s="51" t="s">
        <v>371</v>
      </c>
      <c r="G11" s="51" t="s">
        <v>372</v>
      </c>
    </row>
    <row r="12" customFormat="false" ht="15" hidden="false" customHeight="true" outlineLevel="0" collapsed="false">
      <c r="A12" s="66" t="s">
        <v>373</v>
      </c>
      <c r="B12" s="51" t="s">
        <v>374</v>
      </c>
      <c r="C12" s="51" t="s">
        <v>375</v>
      </c>
      <c r="D12" s="51" t="s">
        <v>375</v>
      </c>
      <c r="E12" s="51" t="s">
        <v>347</v>
      </c>
      <c r="F12" s="51" t="s">
        <v>376</v>
      </c>
      <c r="G12" s="51" t="s">
        <v>359</v>
      </c>
    </row>
    <row r="13" customFormat="false" ht="15" hidden="false" customHeight="true" outlineLevel="0" collapsed="false">
      <c r="A13" s="66" t="s">
        <v>377</v>
      </c>
      <c r="B13" s="51" t="s">
        <v>378</v>
      </c>
      <c r="C13" s="51" t="s">
        <v>379</v>
      </c>
      <c r="D13" s="51" t="s">
        <v>379</v>
      </c>
      <c r="E13" s="51" t="s">
        <v>347</v>
      </c>
      <c r="F13" s="51" t="s">
        <v>380</v>
      </c>
      <c r="G13" s="51" t="s">
        <v>372</v>
      </c>
    </row>
    <row r="14" customFormat="false" ht="15" hidden="false" customHeight="true" outlineLevel="0" collapsed="false">
      <c r="A14" s="67" t="s">
        <v>381</v>
      </c>
      <c r="B14" s="68"/>
      <c r="C14" s="68"/>
      <c r="D14" s="68"/>
      <c r="E14" s="68" t="s">
        <v>382</v>
      </c>
      <c r="F14" s="68"/>
      <c r="G14" s="68"/>
    </row>
    <row r="16" customFormat="false" ht="15" hidden="false" customHeight="true" outlineLevel="0" collapsed="false">
      <c r="A16" s="69" t="s">
        <v>383</v>
      </c>
      <c r="B16" s="69"/>
      <c r="C16" s="69"/>
      <c r="D16" s="69"/>
      <c r="E16" s="69"/>
      <c r="F16" s="69"/>
      <c r="G16" s="69"/>
      <c r="H16" s="69"/>
    </row>
    <row r="17" customFormat="false" ht="15" hidden="false" customHeight="true" outlineLevel="0" collapsed="false">
      <c r="A17" s="14" t="s">
        <v>384</v>
      </c>
      <c r="B17" s="14" t="s">
        <v>385</v>
      </c>
      <c r="C17" s="14" t="s">
        <v>386</v>
      </c>
      <c r="D17" s="14" t="s">
        <v>387</v>
      </c>
      <c r="E17" s="14" t="s">
        <v>388</v>
      </c>
      <c r="F17" s="14" t="s">
        <v>343</v>
      </c>
      <c r="G17" s="14" t="s">
        <v>344</v>
      </c>
    </row>
    <row r="18" customFormat="false" ht="15" hidden="false" customHeight="true" outlineLevel="0" collapsed="false">
      <c r="A18" s="66" t="s">
        <v>389</v>
      </c>
      <c r="B18" s="51" t="s">
        <v>390</v>
      </c>
      <c r="C18" s="51" t="s">
        <v>391</v>
      </c>
      <c r="D18" s="51" t="s">
        <v>392</v>
      </c>
      <c r="E18" s="51" t="s">
        <v>393</v>
      </c>
      <c r="F18" s="51" t="s">
        <v>348</v>
      </c>
      <c r="G18" s="51" t="s">
        <v>349</v>
      </c>
    </row>
    <row r="19" customFormat="false" ht="15" hidden="false" customHeight="true" outlineLevel="0" collapsed="false">
      <c r="A19" s="66" t="s">
        <v>394</v>
      </c>
      <c r="B19" s="51" t="s">
        <v>395</v>
      </c>
      <c r="C19" s="51" t="s">
        <v>396</v>
      </c>
      <c r="D19" s="51" t="s">
        <v>397</v>
      </c>
      <c r="E19" s="51" t="s">
        <v>398</v>
      </c>
      <c r="F19" s="51" t="s">
        <v>348</v>
      </c>
      <c r="G19" s="51" t="s">
        <v>349</v>
      </c>
    </row>
    <row r="20" customFormat="false" ht="15" hidden="false" customHeight="true" outlineLevel="0" collapsed="false">
      <c r="A20" s="66" t="s">
        <v>399</v>
      </c>
      <c r="B20" s="51" t="s">
        <v>400</v>
      </c>
      <c r="C20" s="51" t="s">
        <v>401</v>
      </c>
      <c r="D20" s="51" t="s">
        <v>402</v>
      </c>
      <c r="E20" s="51" t="s">
        <v>403</v>
      </c>
      <c r="F20" s="51" t="s">
        <v>348</v>
      </c>
      <c r="G20" s="51" t="s">
        <v>349</v>
      </c>
    </row>
    <row r="21" customFormat="false" ht="15" hidden="false" customHeight="true" outlineLevel="0" collapsed="false">
      <c r="A21" s="66" t="s">
        <v>404</v>
      </c>
      <c r="B21" s="51" t="s">
        <v>405</v>
      </c>
      <c r="C21" s="51" t="s">
        <v>406</v>
      </c>
      <c r="D21" s="51" t="s">
        <v>407</v>
      </c>
      <c r="E21" s="51" t="s">
        <v>408</v>
      </c>
      <c r="F21" s="51" t="s">
        <v>348</v>
      </c>
      <c r="G21" s="51" t="s">
        <v>359</v>
      </c>
    </row>
    <row r="22" customFormat="false" ht="15" hidden="false" customHeight="true" outlineLevel="0" collapsed="false">
      <c r="A22" s="66" t="s">
        <v>409</v>
      </c>
      <c r="B22" s="51" t="s">
        <v>410</v>
      </c>
      <c r="C22" s="51" t="s">
        <v>411</v>
      </c>
      <c r="D22" s="51" t="s">
        <v>412</v>
      </c>
      <c r="E22" s="51" t="s">
        <v>413</v>
      </c>
      <c r="F22" s="51" t="s">
        <v>348</v>
      </c>
      <c r="G22" s="51" t="s">
        <v>372</v>
      </c>
    </row>
    <row r="23" customFormat="false" ht="15" hidden="false" customHeight="true" outlineLevel="0" collapsed="false">
      <c r="A23" s="66" t="s">
        <v>414</v>
      </c>
      <c r="B23" s="51" t="s">
        <v>415</v>
      </c>
      <c r="C23" s="51" t="s">
        <v>416</v>
      </c>
      <c r="D23" s="51" t="s">
        <v>417</v>
      </c>
      <c r="E23" s="51" t="s">
        <v>418</v>
      </c>
      <c r="F23" s="51" t="s">
        <v>419</v>
      </c>
      <c r="G23" s="51" t="s">
        <v>349</v>
      </c>
    </row>
    <row r="24" customFormat="false" ht="15" hidden="false" customHeight="true" outlineLevel="0" collapsed="false">
      <c r="A24" s="66" t="s">
        <v>420</v>
      </c>
      <c r="B24" s="51" t="s">
        <v>390</v>
      </c>
      <c r="C24" s="51" t="s">
        <v>416</v>
      </c>
      <c r="D24" s="51" t="s">
        <v>417</v>
      </c>
      <c r="E24" s="51" t="s">
        <v>421</v>
      </c>
      <c r="F24" s="51" t="s">
        <v>422</v>
      </c>
      <c r="G24" s="51" t="s">
        <v>372</v>
      </c>
    </row>
    <row r="25" customFormat="false" ht="15" hidden="false" customHeight="true" outlineLevel="0" collapsed="false">
      <c r="A25" s="66" t="s">
        <v>423</v>
      </c>
      <c r="B25" s="51" t="s">
        <v>424</v>
      </c>
      <c r="C25" s="51" t="s">
        <v>416</v>
      </c>
      <c r="D25" s="51" t="s">
        <v>417</v>
      </c>
      <c r="E25" s="51" t="s">
        <v>425</v>
      </c>
      <c r="F25" s="51" t="s">
        <v>426</v>
      </c>
      <c r="G25" s="51" t="s">
        <v>359</v>
      </c>
    </row>
    <row r="26" customFormat="false" ht="15" hidden="false" customHeight="true" outlineLevel="0" collapsed="false">
      <c r="A26" s="67" t="s">
        <v>381</v>
      </c>
      <c r="B26" s="68"/>
      <c r="C26" s="68"/>
      <c r="D26" s="68"/>
      <c r="E26" s="68" t="s">
        <v>427</v>
      </c>
      <c r="F26" s="68"/>
      <c r="G26" s="68"/>
    </row>
    <row r="28" customFormat="false" ht="15" hidden="false" customHeight="true" outlineLevel="0" collapsed="false">
      <c r="A28" s="70" t="s">
        <v>428</v>
      </c>
      <c r="B28" s="70"/>
      <c r="C28" s="70"/>
      <c r="D28" s="70"/>
      <c r="E28" s="70"/>
      <c r="F28" s="70"/>
      <c r="G28" s="70"/>
      <c r="H28" s="70"/>
    </row>
    <row r="29" customFormat="false" ht="15" hidden="false" customHeight="true" outlineLevel="0" collapsed="false">
      <c r="A29" s="14" t="s">
        <v>429</v>
      </c>
      <c r="B29" s="14" t="s">
        <v>430</v>
      </c>
      <c r="C29" s="14" t="s">
        <v>431</v>
      </c>
      <c r="D29" s="14" t="s">
        <v>432</v>
      </c>
      <c r="E29" s="14" t="s">
        <v>433</v>
      </c>
      <c r="F29" s="14" t="s">
        <v>343</v>
      </c>
      <c r="G29" s="14" t="s">
        <v>344</v>
      </c>
    </row>
    <row r="30" customFormat="false" ht="15" hidden="false" customHeight="true" outlineLevel="0" collapsed="false">
      <c r="A30" s="66" t="s">
        <v>434</v>
      </c>
      <c r="B30" s="51" t="s">
        <v>435</v>
      </c>
      <c r="C30" s="51" t="s">
        <v>436</v>
      </c>
      <c r="D30" s="51" t="s">
        <v>437</v>
      </c>
      <c r="E30" s="51" t="s">
        <v>438</v>
      </c>
      <c r="F30" s="51" t="s">
        <v>439</v>
      </c>
      <c r="G30" s="51" t="s">
        <v>349</v>
      </c>
    </row>
    <row r="31" customFormat="false" ht="15" hidden="false" customHeight="true" outlineLevel="0" collapsed="false">
      <c r="A31" s="66" t="s">
        <v>434</v>
      </c>
      <c r="B31" s="51" t="s">
        <v>440</v>
      </c>
      <c r="C31" s="51" t="s">
        <v>436</v>
      </c>
      <c r="D31" s="51" t="s">
        <v>437</v>
      </c>
      <c r="E31" s="51" t="s">
        <v>438</v>
      </c>
      <c r="F31" s="51" t="s">
        <v>439</v>
      </c>
      <c r="G31" s="51" t="s">
        <v>349</v>
      </c>
    </row>
    <row r="32" customFormat="false" ht="15" hidden="false" customHeight="true" outlineLevel="0" collapsed="false">
      <c r="A32" s="66" t="s">
        <v>441</v>
      </c>
      <c r="B32" s="51" t="s">
        <v>442</v>
      </c>
      <c r="C32" s="51" t="s">
        <v>443</v>
      </c>
      <c r="D32" s="51" t="s">
        <v>444</v>
      </c>
      <c r="E32" s="51" t="s">
        <v>445</v>
      </c>
      <c r="F32" s="51" t="s">
        <v>439</v>
      </c>
      <c r="G32" s="51" t="s">
        <v>359</v>
      </c>
    </row>
    <row r="33" customFormat="false" ht="15" hidden="false" customHeight="true" outlineLevel="0" collapsed="false">
      <c r="A33" s="66" t="s">
        <v>446</v>
      </c>
      <c r="B33" s="51" t="s">
        <v>447</v>
      </c>
      <c r="C33" s="51" t="s">
        <v>448</v>
      </c>
      <c r="D33" s="51" t="s">
        <v>449</v>
      </c>
      <c r="E33" s="51" t="s">
        <v>450</v>
      </c>
      <c r="F33" s="51" t="s">
        <v>439</v>
      </c>
      <c r="G33" s="51" t="s">
        <v>372</v>
      </c>
    </row>
    <row r="34" customFormat="false" ht="15" hidden="false" customHeight="true" outlineLevel="0" collapsed="false">
      <c r="A34" s="66" t="s">
        <v>451</v>
      </c>
      <c r="B34" s="51" t="s">
        <v>452</v>
      </c>
      <c r="C34" s="51" t="s">
        <v>453</v>
      </c>
      <c r="D34" s="51" t="s">
        <v>454</v>
      </c>
      <c r="E34" s="51" t="s">
        <v>455</v>
      </c>
      <c r="F34" s="51" t="s">
        <v>439</v>
      </c>
      <c r="G34" s="51" t="s">
        <v>372</v>
      </c>
    </row>
    <row r="35" customFormat="false" ht="15" hidden="false" customHeight="true" outlineLevel="0" collapsed="false">
      <c r="A35" s="67" t="s">
        <v>381</v>
      </c>
      <c r="B35" s="68"/>
      <c r="C35" s="68"/>
      <c r="D35" s="68"/>
      <c r="E35" s="68" t="s">
        <v>456</v>
      </c>
      <c r="F35" s="68"/>
      <c r="G35" s="68"/>
    </row>
    <row r="37" customFormat="false" ht="15" hidden="false" customHeight="true" outlineLevel="0" collapsed="false">
      <c r="A37" s="71" t="s">
        <v>457</v>
      </c>
      <c r="B37" s="71"/>
      <c r="C37" s="71"/>
      <c r="D37" s="71"/>
      <c r="E37" s="71"/>
      <c r="F37" s="71"/>
      <c r="G37" s="71"/>
      <c r="H37" s="71"/>
    </row>
    <row r="38" customFormat="false" ht="15" hidden="false" customHeight="true" outlineLevel="0" collapsed="false">
      <c r="A38" s="6" t="s">
        <v>458</v>
      </c>
      <c r="B38" s="8" t="s">
        <v>459</v>
      </c>
      <c r="C38" s="8"/>
      <c r="D38" s="8"/>
      <c r="E38" s="8"/>
      <c r="F38" s="8"/>
      <c r="G38" s="8"/>
      <c r="H38" s="8"/>
    </row>
    <row r="39" customFormat="false" ht="15" hidden="false" customHeight="true" outlineLevel="0" collapsed="false">
      <c r="A39" s="6" t="s">
        <v>460</v>
      </c>
      <c r="B39" s="8" t="s">
        <v>461</v>
      </c>
      <c r="C39" s="8"/>
      <c r="D39" s="8"/>
      <c r="E39" s="8"/>
      <c r="F39" s="8"/>
      <c r="G39" s="8"/>
      <c r="H39" s="8"/>
    </row>
    <row r="40" customFormat="false" ht="15" hidden="false" customHeight="true" outlineLevel="0" collapsed="false">
      <c r="A40" s="6" t="s">
        <v>462</v>
      </c>
      <c r="B40" s="8" t="s">
        <v>463</v>
      </c>
      <c r="C40" s="8"/>
      <c r="D40" s="8"/>
      <c r="E40" s="8"/>
      <c r="F40" s="8"/>
      <c r="G40" s="8"/>
      <c r="H40" s="8"/>
    </row>
    <row r="41" customFormat="false" ht="15" hidden="false" customHeight="true" outlineLevel="0" collapsed="false">
      <c r="A41" s="6" t="s">
        <v>464</v>
      </c>
      <c r="B41" s="8" t="s">
        <v>465</v>
      </c>
      <c r="C41" s="8"/>
      <c r="D41" s="8"/>
      <c r="E41" s="8"/>
      <c r="F41" s="8"/>
      <c r="G41" s="8"/>
      <c r="H41" s="8"/>
    </row>
    <row r="42" customFormat="false" ht="15" hidden="false" customHeight="true" outlineLevel="0" collapsed="false">
      <c r="A42" s="6" t="s">
        <v>343</v>
      </c>
      <c r="B42" s="8" t="s">
        <v>466</v>
      </c>
      <c r="C42" s="8"/>
      <c r="D42" s="8"/>
      <c r="E42" s="8"/>
      <c r="F42" s="8"/>
      <c r="G42" s="8"/>
      <c r="H42" s="8"/>
    </row>
    <row r="43" customFormat="false" ht="15" hidden="false" customHeight="true" outlineLevel="0" collapsed="false">
      <c r="A43" s="6" t="s">
        <v>344</v>
      </c>
      <c r="B43" s="8" t="s">
        <v>467</v>
      </c>
      <c r="C43" s="8"/>
      <c r="D43" s="8"/>
      <c r="E43" s="8"/>
      <c r="F43" s="8"/>
      <c r="G43" s="8"/>
      <c r="H43" s="8"/>
    </row>
  </sheetData>
  <mergeCells count="11">
    <mergeCell ref="A1:H1"/>
    <mergeCell ref="A3:H3"/>
    <mergeCell ref="A16:H16"/>
    <mergeCell ref="A28:H28"/>
    <mergeCell ref="A37:H37"/>
    <mergeCell ref="B38:H38"/>
    <mergeCell ref="B39:H39"/>
    <mergeCell ref="B40:H40"/>
    <mergeCell ref="B41:H41"/>
    <mergeCell ref="B42:H42"/>
    <mergeCell ref="B43:H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CD4"/>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3" min="2" style="1" width="14"/>
    <col collapsed="false" customWidth="true" hidden="false" outlineLevel="0" max="6" min="4" style="1" width="16"/>
    <col collapsed="false" customWidth="true" hidden="false" outlineLevel="0" max="7" min="7" style="1" width="40"/>
  </cols>
  <sheetData>
    <row r="1" customFormat="false" ht="21.75" hidden="false" customHeight="true" outlineLevel="0" collapsed="false">
      <c r="A1" s="2" t="s">
        <v>468</v>
      </c>
      <c r="B1" s="2"/>
      <c r="C1" s="2"/>
      <c r="D1" s="2"/>
      <c r="E1" s="2"/>
      <c r="F1" s="2"/>
      <c r="G1" s="2"/>
    </row>
    <row r="3" customFormat="false" ht="15" hidden="false" customHeight="true" outlineLevel="0" collapsed="false">
      <c r="A3" s="14" t="s">
        <v>469</v>
      </c>
      <c r="B3" s="14" t="s">
        <v>314</v>
      </c>
      <c r="C3" s="14" t="s">
        <v>470</v>
      </c>
      <c r="D3" s="14" t="s">
        <v>5</v>
      </c>
      <c r="E3" s="14" t="s">
        <v>471</v>
      </c>
      <c r="F3" s="14" t="s">
        <v>472</v>
      </c>
      <c r="G3" s="14" t="s">
        <v>473</v>
      </c>
    </row>
    <row r="4" customFormat="false" ht="15" hidden="false" customHeight="true" outlineLevel="0" collapsed="false">
      <c r="A4" s="72" t="s">
        <v>474</v>
      </c>
      <c r="B4" s="72"/>
      <c r="C4" s="72"/>
      <c r="D4" s="72"/>
      <c r="E4" s="72"/>
      <c r="F4" s="72"/>
      <c r="G4" s="72"/>
    </row>
    <row r="5" customFormat="false" ht="34.5" hidden="false" customHeight="true" outlineLevel="0" collapsed="false">
      <c r="A5" s="66" t="s">
        <v>475</v>
      </c>
      <c r="B5" s="51" t="s">
        <v>476</v>
      </c>
      <c r="C5" s="51" t="s">
        <v>477</v>
      </c>
      <c r="D5" s="51" t="s">
        <v>478</v>
      </c>
      <c r="E5" s="51" t="s">
        <v>478</v>
      </c>
      <c r="F5" s="51" t="s">
        <v>479</v>
      </c>
      <c r="G5" s="49" t="s">
        <v>480</v>
      </c>
    </row>
    <row r="6" customFormat="false" ht="34.5" hidden="false" customHeight="true" outlineLevel="0" collapsed="false">
      <c r="A6" s="66" t="s">
        <v>481</v>
      </c>
      <c r="B6" s="51" t="s">
        <v>476</v>
      </c>
      <c r="C6" s="51" t="s">
        <v>482</v>
      </c>
      <c r="D6" s="51" t="s">
        <v>483</v>
      </c>
      <c r="E6" s="51" t="s">
        <v>478</v>
      </c>
      <c r="F6" s="51" t="s">
        <v>484</v>
      </c>
      <c r="G6" s="49" t="s">
        <v>485</v>
      </c>
    </row>
    <row r="7" customFormat="false" ht="34.5" hidden="false" customHeight="true" outlineLevel="0" collapsed="false">
      <c r="A7" s="66" t="s">
        <v>486</v>
      </c>
      <c r="B7" s="51" t="s">
        <v>487</v>
      </c>
      <c r="C7" s="51" t="s">
        <v>488</v>
      </c>
      <c r="D7" s="51" t="s">
        <v>489</v>
      </c>
      <c r="E7" s="51" t="s">
        <v>483</v>
      </c>
      <c r="F7" s="51" t="s">
        <v>484</v>
      </c>
      <c r="G7" s="49" t="s">
        <v>490</v>
      </c>
    </row>
    <row r="8" customFormat="false" ht="34.5" hidden="false" customHeight="true" outlineLevel="0" collapsed="false">
      <c r="A8" s="66" t="s">
        <v>491</v>
      </c>
      <c r="B8" s="51" t="s">
        <v>487</v>
      </c>
      <c r="C8" s="51" t="s">
        <v>492</v>
      </c>
      <c r="D8" s="51" t="s">
        <v>483</v>
      </c>
      <c r="E8" s="51" t="s">
        <v>478</v>
      </c>
      <c r="F8" s="51" t="s">
        <v>479</v>
      </c>
      <c r="G8" s="49" t="s">
        <v>493</v>
      </c>
    </row>
    <row r="9" customFormat="false" ht="34.5" hidden="false" customHeight="true" outlineLevel="0" collapsed="false">
      <c r="A9" s="66" t="s">
        <v>494</v>
      </c>
      <c r="B9" s="51" t="s">
        <v>487</v>
      </c>
      <c r="C9" s="51" t="s">
        <v>495</v>
      </c>
      <c r="D9" s="51" t="s">
        <v>489</v>
      </c>
      <c r="E9" s="51" t="s">
        <v>483</v>
      </c>
      <c r="F9" s="51" t="s">
        <v>484</v>
      </c>
      <c r="G9" s="49" t="s">
        <v>496</v>
      </c>
    </row>
    <row r="10" customFormat="false" ht="34.5" hidden="false" customHeight="true" outlineLevel="0" collapsed="false">
      <c r="A10" s="66" t="s">
        <v>497</v>
      </c>
      <c r="B10" s="51" t="s">
        <v>487</v>
      </c>
      <c r="C10" s="51" t="s">
        <v>498</v>
      </c>
      <c r="D10" s="51" t="s">
        <v>483</v>
      </c>
      <c r="E10" s="51" t="s">
        <v>478</v>
      </c>
      <c r="F10" s="51" t="s">
        <v>479</v>
      </c>
      <c r="G10" s="49" t="s">
        <v>499</v>
      </c>
    </row>
    <row r="11" customFormat="false" ht="34.5" hidden="false" customHeight="true" outlineLevel="0" collapsed="false">
      <c r="A11" s="66" t="s">
        <v>500</v>
      </c>
      <c r="B11" s="51" t="s">
        <v>487</v>
      </c>
      <c r="C11" s="51" t="s">
        <v>498</v>
      </c>
      <c r="D11" s="51" t="s">
        <v>501</v>
      </c>
      <c r="E11" s="51" t="s">
        <v>483</v>
      </c>
      <c r="F11" s="51" t="s">
        <v>502</v>
      </c>
      <c r="G11" s="49" t="s">
        <v>503</v>
      </c>
    </row>
    <row r="13" customFormat="false" ht="15" hidden="false" customHeight="true" outlineLevel="0" collapsed="false">
      <c r="A13" s="73" t="s">
        <v>504</v>
      </c>
      <c r="B13" s="73"/>
      <c r="C13" s="73"/>
      <c r="D13" s="73"/>
      <c r="E13" s="73"/>
      <c r="F13" s="73"/>
      <c r="G13" s="73"/>
    </row>
    <row r="14" customFormat="false" ht="34.5" hidden="false" customHeight="true" outlineLevel="0" collapsed="false">
      <c r="A14" s="66" t="s">
        <v>505</v>
      </c>
      <c r="B14" s="51" t="s">
        <v>506</v>
      </c>
      <c r="C14" s="51" t="s">
        <v>507</v>
      </c>
      <c r="D14" s="51" t="s">
        <v>478</v>
      </c>
      <c r="E14" s="51" t="s">
        <v>478</v>
      </c>
      <c r="F14" s="51" t="s">
        <v>484</v>
      </c>
      <c r="G14" s="49" t="s">
        <v>508</v>
      </c>
    </row>
    <row r="15" customFormat="false" ht="34.5" hidden="false" customHeight="true" outlineLevel="0" collapsed="false">
      <c r="A15" s="66" t="s">
        <v>509</v>
      </c>
      <c r="B15" s="51" t="s">
        <v>476</v>
      </c>
      <c r="C15" s="51" t="s">
        <v>482</v>
      </c>
      <c r="D15" s="51" t="s">
        <v>483</v>
      </c>
      <c r="E15" s="51" t="s">
        <v>489</v>
      </c>
      <c r="F15" s="51" t="s">
        <v>502</v>
      </c>
      <c r="G15" s="49" t="s">
        <v>510</v>
      </c>
    </row>
    <row r="16" customFormat="false" ht="34.5" hidden="false" customHeight="true" outlineLevel="0" collapsed="false">
      <c r="A16" s="66" t="s">
        <v>511</v>
      </c>
      <c r="B16" s="51" t="s">
        <v>506</v>
      </c>
      <c r="C16" s="51" t="s">
        <v>512</v>
      </c>
      <c r="D16" s="51" t="s">
        <v>483</v>
      </c>
      <c r="E16" s="51" t="s">
        <v>483</v>
      </c>
      <c r="F16" s="51" t="s">
        <v>502</v>
      </c>
      <c r="G16" s="49" t="s">
        <v>513</v>
      </c>
    </row>
    <row r="17" customFormat="false" ht="34.5" hidden="false" customHeight="true" outlineLevel="0" collapsed="false">
      <c r="A17" s="66" t="s">
        <v>514</v>
      </c>
      <c r="B17" s="51" t="s">
        <v>476</v>
      </c>
      <c r="C17" s="51" t="s">
        <v>482</v>
      </c>
      <c r="D17" s="51" t="s">
        <v>478</v>
      </c>
      <c r="E17" s="51" t="s">
        <v>483</v>
      </c>
      <c r="F17" s="51" t="s">
        <v>484</v>
      </c>
      <c r="G17" s="49" t="s">
        <v>515</v>
      </c>
    </row>
    <row r="18" customFormat="false" ht="34.5" hidden="false" customHeight="true" outlineLevel="0" collapsed="false">
      <c r="A18" s="66" t="s">
        <v>516</v>
      </c>
      <c r="B18" s="51" t="s">
        <v>476</v>
      </c>
      <c r="C18" s="51" t="s">
        <v>517</v>
      </c>
      <c r="D18" s="51" t="s">
        <v>489</v>
      </c>
      <c r="E18" s="51" t="s">
        <v>489</v>
      </c>
      <c r="F18" s="51" t="s">
        <v>518</v>
      </c>
      <c r="G18" s="49" t="s">
        <v>519</v>
      </c>
    </row>
    <row r="19" customFormat="false" ht="34.5" hidden="false" customHeight="true" outlineLevel="0" collapsed="false">
      <c r="A19" s="66" t="s">
        <v>520</v>
      </c>
      <c r="B19" s="51" t="s">
        <v>487</v>
      </c>
      <c r="C19" s="51" t="s">
        <v>495</v>
      </c>
      <c r="D19" s="51" t="s">
        <v>483</v>
      </c>
      <c r="E19" s="51" t="s">
        <v>478</v>
      </c>
      <c r="F19" s="51" t="s">
        <v>484</v>
      </c>
      <c r="G19" s="49" t="s">
        <v>521</v>
      </c>
    </row>
    <row r="20" customFormat="false" ht="34.5" hidden="false" customHeight="true" outlineLevel="0" collapsed="false">
      <c r="A20" s="66" t="s">
        <v>522</v>
      </c>
      <c r="B20" s="51" t="s">
        <v>506</v>
      </c>
      <c r="C20" s="51" t="s">
        <v>523</v>
      </c>
      <c r="D20" s="51" t="s">
        <v>483</v>
      </c>
      <c r="E20" s="51" t="s">
        <v>483</v>
      </c>
      <c r="F20" s="51" t="s">
        <v>518</v>
      </c>
      <c r="G20" s="49" t="s">
        <v>524</v>
      </c>
    </row>
    <row r="22" customFormat="false" ht="15" hidden="false" customHeight="true" outlineLevel="0" collapsed="false">
      <c r="A22" s="74" t="s">
        <v>525</v>
      </c>
      <c r="B22" s="74"/>
      <c r="C22" s="74"/>
      <c r="D22" s="74"/>
      <c r="E22" s="74"/>
      <c r="F22" s="74"/>
      <c r="G22" s="74"/>
    </row>
    <row r="23" customFormat="false" ht="34.5" hidden="false" customHeight="true" outlineLevel="0" collapsed="false">
      <c r="A23" s="66" t="s">
        <v>526</v>
      </c>
      <c r="B23" s="51" t="s">
        <v>527</v>
      </c>
      <c r="C23" s="51" t="s">
        <v>528</v>
      </c>
      <c r="D23" s="51" t="s">
        <v>478</v>
      </c>
      <c r="E23" s="51" t="s">
        <v>478</v>
      </c>
      <c r="F23" s="51" t="s">
        <v>502</v>
      </c>
      <c r="G23" s="49" t="s">
        <v>529</v>
      </c>
    </row>
    <row r="24" customFormat="false" ht="34.5" hidden="false" customHeight="true" outlineLevel="0" collapsed="false">
      <c r="A24" s="66" t="s">
        <v>530</v>
      </c>
      <c r="B24" s="51" t="s">
        <v>476</v>
      </c>
      <c r="C24" s="51" t="s">
        <v>531</v>
      </c>
      <c r="D24" s="51" t="s">
        <v>478</v>
      </c>
      <c r="E24" s="51" t="s">
        <v>478</v>
      </c>
      <c r="F24" s="51" t="s">
        <v>479</v>
      </c>
      <c r="G24" s="49" t="s">
        <v>532</v>
      </c>
    </row>
    <row r="25" customFormat="false" ht="34.5" hidden="false" customHeight="true" outlineLevel="0" collapsed="false">
      <c r="A25" s="66" t="s">
        <v>533</v>
      </c>
      <c r="B25" s="51" t="s">
        <v>506</v>
      </c>
      <c r="C25" s="51" t="s">
        <v>534</v>
      </c>
      <c r="D25" s="51" t="s">
        <v>483</v>
      </c>
      <c r="E25" s="51" t="s">
        <v>489</v>
      </c>
      <c r="F25" s="51" t="s">
        <v>518</v>
      </c>
      <c r="G25" s="49" t="s">
        <v>535</v>
      </c>
    </row>
    <row r="26" customFormat="false" ht="34.5" hidden="false" customHeight="true" outlineLevel="0" collapsed="false">
      <c r="A26" s="66" t="s">
        <v>536</v>
      </c>
      <c r="B26" s="51" t="s">
        <v>527</v>
      </c>
      <c r="C26" s="51" t="s">
        <v>537</v>
      </c>
      <c r="D26" s="51" t="s">
        <v>478</v>
      </c>
      <c r="E26" s="51" t="s">
        <v>483</v>
      </c>
      <c r="F26" s="51" t="s">
        <v>518</v>
      </c>
      <c r="G26" s="49" t="s">
        <v>538</v>
      </c>
    </row>
    <row r="27" customFormat="false" ht="34.5" hidden="false" customHeight="true" outlineLevel="0" collapsed="false">
      <c r="A27" s="66" t="s">
        <v>539</v>
      </c>
      <c r="B27" s="51" t="s">
        <v>476</v>
      </c>
      <c r="C27" s="51" t="s">
        <v>540</v>
      </c>
      <c r="D27" s="51" t="s">
        <v>489</v>
      </c>
      <c r="E27" s="51" t="s">
        <v>483</v>
      </c>
      <c r="F27" s="51" t="s">
        <v>518</v>
      </c>
      <c r="G27" s="49" t="s">
        <v>541</v>
      </c>
    </row>
    <row r="28" customFormat="false" ht="34.5" hidden="false" customHeight="true" outlineLevel="0" collapsed="false">
      <c r="A28" s="66" t="s">
        <v>542</v>
      </c>
      <c r="B28" s="51" t="s">
        <v>506</v>
      </c>
      <c r="C28" s="51" t="s">
        <v>534</v>
      </c>
      <c r="D28" s="51" t="s">
        <v>489</v>
      </c>
      <c r="E28" s="51" t="s">
        <v>489</v>
      </c>
      <c r="F28" s="51" t="s">
        <v>543</v>
      </c>
      <c r="G28" s="49" t="s">
        <v>544</v>
      </c>
    </row>
    <row r="29" customFormat="false" ht="34.5" hidden="false" customHeight="true" outlineLevel="0" collapsed="false">
      <c r="A29" s="66" t="s">
        <v>545</v>
      </c>
      <c r="B29" s="51" t="s">
        <v>506</v>
      </c>
      <c r="C29" s="51" t="s">
        <v>534</v>
      </c>
      <c r="D29" s="51" t="s">
        <v>489</v>
      </c>
      <c r="E29" s="51" t="s">
        <v>483</v>
      </c>
      <c r="F29" s="51" t="s">
        <v>546</v>
      </c>
      <c r="G29" s="49" t="s">
        <v>547</v>
      </c>
    </row>
  </sheetData>
  <mergeCells count="4">
    <mergeCell ref="A1:G1"/>
    <mergeCell ref="A4:G4"/>
    <mergeCell ref="A13:G13"/>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D00"/>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8" min="2" style="1" width="18"/>
  </cols>
  <sheetData>
    <row r="1" customFormat="false" ht="21.75" hidden="false" customHeight="true" outlineLevel="0" collapsed="false">
      <c r="A1" s="2" t="s">
        <v>548</v>
      </c>
      <c r="B1" s="2"/>
      <c r="C1" s="2"/>
      <c r="D1" s="2"/>
      <c r="E1" s="2"/>
      <c r="F1" s="2"/>
      <c r="G1" s="2"/>
      <c r="H1" s="2"/>
    </row>
    <row r="3" customFormat="false" ht="15" hidden="false" customHeight="true" outlineLevel="0" collapsed="false">
      <c r="A3" s="14" t="s">
        <v>549</v>
      </c>
      <c r="B3" s="14" t="s">
        <v>550</v>
      </c>
      <c r="C3" s="14" t="s">
        <v>551</v>
      </c>
      <c r="D3" s="14" t="s">
        <v>552</v>
      </c>
      <c r="E3" s="14" t="s">
        <v>553</v>
      </c>
      <c r="F3" s="14" t="s">
        <v>554</v>
      </c>
      <c r="G3" s="14" t="s">
        <v>555</v>
      </c>
      <c r="H3" s="14" t="s">
        <v>556</v>
      </c>
    </row>
    <row r="4" customFormat="false" ht="15" hidden="false" customHeight="true" outlineLevel="0" collapsed="false">
      <c r="A4" s="66" t="s">
        <v>557</v>
      </c>
      <c r="B4" s="51" t="s">
        <v>558</v>
      </c>
      <c r="C4" s="51" t="s">
        <v>559</v>
      </c>
      <c r="D4" s="51" t="s">
        <v>560</v>
      </c>
      <c r="E4" s="51" t="s">
        <v>54</v>
      </c>
      <c r="F4" s="51" t="s">
        <v>54</v>
      </c>
      <c r="G4" s="51" t="s">
        <v>54</v>
      </c>
      <c r="H4" s="51" t="s">
        <v>561</v>
      </c>
    </row>
    <row r="5" customFormat="false" ht="15" hidden="false" customHeight="true" outlineLevel="0" collapsed="false">
      <c r="A5" s="66" t="s">
        <v>562</v>
      </c>
      <c r="B5" s="51" t="s">
        <v>563</v>
      </c>
      <c r="C5" s="51" t="s">
        <v>564</v>
      </c>
      <c r="D5" s="51" t="s">
        <v>565</v>
      </c>
      <c r="E5" s="51" t="s">
        <v>54</v>
      </c>
      <c r="F5" s="51" t="s">
        <v>54</v>
      </c>
      <c r="G5" s="51" t="s">
        <v>54</v>
      </c>
      <c r="H5" s="51" t="s">
        <v>566</v>
      </c>
    </row>
    <row r="6" customFormat="false" ht="15" hidden="false" customHeight="true" outlineLevel="0" collapsed="false">
      <c r="A6" s="66" t="s">
        <v>567</v>
      </c>
      <c r="B6" s="51" t="s">
        <v>563</v>
      </c>
      <c r="C6" s="51" t="s">
        <v>568</v>
      </c>
      <c r="D6" s="51" t="s">
        <v>569</v>
      </c>
      <c r="E6" s="51" t="s">
        <v>54</v>
      </c>
      <c r="F6" s="51" t="s">
        <v>54</v>
      </c>
      <c r="G6" s="51" t="s">
        <v>54</v>
      </c>
      <c r="H6" s="51" t="s">
        <v>570</v>
      </c>
    </row>
    <row r="7" customFormat="false" ht="15" hidden="false" customHeight="true" outlineLevel="0" collapsed="false">
      <c r="A7" s="66" t="s">
        <v>571</v>
      </c>
      <c r="B7" s="51" t="s">
        <v>572</v>
      </c>
      <c r="C7" s="51" t="s">
        <v>573</v>
      </c>
      <c r="D7" s="51" t="s">
        <v>574</v>
      </c>
      <c r="E7" s="51" t="s">
        <v>62</v>
      </c>
      <c r="F7" s="51" t="s">
        <v>62</v>
      </c>
      <c r="G7" s="51" t="s">
        <v>54</v>
      </c>
      <c r="H7" s="51" t="s">
        <v>575</v>
      </c>
    </row>
    <row r="8" customFormat="false" ht="15" hidden="false" customHeight="true" outlineLevel="0" collapsed="false">
      <c r="A8" s="66" t="s">
        <v>576</v>
      </c>
      <c r="B8" s="51" t="s">
        <v>577</v>
      </c>
      <c r="C8" s="51" t="s">
        <v>578</v>
      </c>
      <c r="D8" s="51" t="s">
        <v>579</v>
      </c>
      <c r="E8" s="51" t="s">
        <v>62</v>
      </c>
      <c r="F8" s="51" t="s">
        <v>580</v>
      </c>
      <c r="G8" s="51" t="s">
        <v>54</v>
      </c>
      <c r="H8" s="51" t="s">
        <v>581</v>
      </c>
    </row>
    <row r="9" customFormat="false" ht="15" hidden="false" customHeight="true" outlineLevel="0" collapsed="false">
      <c r="A9" s="67" t="s">
        <v>582</v>
      </c>
      <c r="B9" s="68" t="s">
        <v>583</v>
      </c>
      <c r="C9" s="68" t="s">
        <v>319</v>
      </c>
      <c r="D9" s="68" t="s">
        <v>584</v>
      </c>
      <c r="E9" s="68" t="s">
        <v>585</v>
      </c>
      <c r="F9" s="68" t="s">
        <v>585</v>
      </c>
      <c r="G9" s="68" t="s">
        <v>585</v>
      </c>
      <c r="H9" s="68" t="s">
        <v>586</v>
      </c>
    </row>
    <row r="11" customFormat="false" ht="15" hidden="false" customHeight="true" outlineLevel="0" collapsed="false">
      <c r="A11" s="26" t="s">
        <v>587</v>
      </c>
      <c r="B11" s="26"/>
      <c r="C11" s="26"/>
      <c r="D11" s="26"/>
      <c r="E11" s="26"/>
      <c r="F11" s="26"/>
      <c r="G11" s="26"/>
      <c r="H11" s="26"/>
    </row>
    <row r="12" customFormat="false" ht="34.5" hidden="false" customHeight="true" outlineLevel="0" collapsed="false">
      <c r="A12" s="6" t="s">
        <v>588</v>
      </c>
      <c r="B12" s="8" t="s">
        <v>589</v>
      </c>
      <c r="C12" s="8"/>
      <c r="D12" s="8"/>
      <c r="E12" s="8"/>
      <c r="F12" s="8"/>
      <c r="G12" s="8"/>
      <c r="H12" s="8"/>
    </row>
    <row r="13" customFormat="false" ht="34.5" hidden="false" customHeight="true" outlineLevel="0" collapsed="false">
      <c r="A13" s="6" t="s">
        <v>354</v>
      </c>
      <c r="B13" s="8" t="s">
        <v>590</v>
      </c>
      <c r="C13" s="8"/>
      <c r="D13" s="8"/>
      <c r="E13" s="8"/>
      <c r="F13" s="8"/>
      <c r="G13" s="8"/>
      <c r="H13" s="8"/>
    </row>
    <row r="14" customFormat="false" ht="34.5" hidden="false" customHeight="true" outlineLevel="0" collapsed="false">
      <c r="A14" s="6" t="s">
        <v>591</v>
      </c>
      <c r="B14" s="8" t="s">
        <v>592</v>
      </c>
      <c r="C14" s="8"/>
      <c r="D14" s="8"/>
      <c r="E14" s="8"/>
      <c r="F14" s="8"/>
      <c r="G14" s="8"/>
      <c r="H14" s="8"/>
    </row>
    <row r="15" customFormat="false" ht="34.5" hidden="false" customHeight="true" outlineLevel="0" collapsed="false">
      <c r="A15" s="6" t="s">
        <v>593</v>
      </c>
      <c r="B15" s="8" t="s">
        <v>594</v>
      </c>
      <c r="C15" s="8"/>
      <c r="D15" s="8"/>
      <c r="E15" s="8"/>
      <c r="F15" s="8"/>
      <c r="G15" s="8"/>
      <c r="H15" s="8"/>
    </row>
    <row r="16" customFormat="false" ht="34.5" hidden="false" customHeight="true" outlineLevel="0" collapsed="false">
      <c r="A16" s="6" t="s">
        <v>595</v>
      </c>
      <c r="B16" s="8" t="s">
        <v>596</v>
      </c>
      <c r="C16" s="8"/>
      <c r="D16" s="8"/>
      <c r="E16" s="8"/>
      <c r="F16" s="8"/>
      <c r="G16" s="8"/>
      <c r="H16" s="8"/>
    </row>
    <row r="17" customFormat="false" ht="34.5" hidden="false" customHeight="true" outlineLevel="0" collapsed="false">
      <c r="A17" s="6" t="s">
        <v>597</v>
      </c>
      <c r="B17" s="8" t="s">
        <v>598</v>
      </c>
      <c r="C17" s="8"/>
      <c r="D17" s="8"/>
      <c r="E17" s="8"/>
      <c r="F17" s="8"/>
      <c r="G17" s="8"/>
      <c r="H17" s="8"/>
    </row>
  </sheetData>
  <mergeCells count="8">
    <mergeCell ref="A1:H1"/>
    <mergeCell ref="A11:H11"/>
    <mergeCell ref="B12:H12"/>
    <mergeCell ref="B13:H13"/>
    <mergeCell ref="B14:H14"/>
    <mergeCell ref="B15:H15"/>
    <mergeCell ref="B16:H16"/>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7B0"/>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5"/>
    <col collapsed="false" customWidth="true" hidden="false" outlineLevel="0" max="4" min="2" style="1" width="18"/>
    <col collapsed="false" customWidth="true" hidden="false" outlineLevel="0" max="5" min="5" style="1" width="30"/>
  </cols>
  <sheetData>
    <row r="1" customFormat="false" ht="21.75" hidden="false" customHeight="true" outlineLevel="0" collapsed="false">
      <c r="A1" s="2" t="s">
        <v>599</v>
      </c>
      <c r="B1" s="2"/>
      <c r="C1" s="2"/>
      <c r="D1" s="2"/>
      <c r="E1" s="2"/>
    </row>
    <row r="3" customFormat="false" ht="15" hidden="false" customHeight="true" outlineLevel="0" collapsed="false">
      <c r="A3" s="14" t="s">
        <v>104</v>
      </c>
      <c r="B3" s="14" t="s">
        <v>600</v>
      </c>
      <c r="C3" s="14" t="s">
        <v>445</v>
      </c>
      <c r="D3" s="14" t="s">
        <v>601</v>
      </c>
      <c r="E3" s="14" t="s">
        <v>602</v>
      </c>
    </row>
    <row r="4" customFormat="false" ht="15" hidden="false" customHeight="true" outlineLevel="0" collapsed="false">
      <c r="A4" s="75" t="s">
        <v>603</v>
      </c>
      <c r="B4" s="76" t="s">
        <v>604</v>
      </c>
      <c r="C4" s="76" t="s">
        <v>605</v>
      </c>
      <c r="D4" s="76" t="s">
        <v>606</v>
      </c>
      <c r="E4" s="77" t="s">
        <v>607</v>
      </c>
    </row>
    <row r="5" customFormat="false" ht="15" hidden="false" customHeight="true" outlineLevel="0" collapsed="false">
      <c r="A5" s="75" t="s">
        <v>608</v>
      </c>
      <c r="B5" s="76" t="s">
        <v>609</v>
      </c>
      <c r="C5" s="76" t="s">
        <v>610</v>
      </c>
      <c r="D5" s="76" t="s">
        <v>611</v>
      </c>
      <c r="E5" s="77" t="s">
        <v>612</v>
      </c>
    </row>
    <row r="6" customFormat="false" ht="15" hidden="false" customHeight="true" outlineLevel="0" collapsed="false">
      <c r="A6" s="75" t="s">
        <v>613</v>
      </c>
      <c r="B6" s="76" t="s">
        <v>395</v>
      </c>
      <c r="C6" s="76" t="s">
        <v>614</v>
      </c>
      <c r="D6" s="76" t="s">
        <v>615</v>
      </c>
      <c r="E6" s="77" t="s">
        <v>616</v>
      </c>
    </row>
    <row r="7" customFormat="false" ht="15" hidden="false" customHeight="true" outlineLevel="0" collapsed="false">
      <c r="A7" s="75" t="s">
        <v>95</v>
      </c>
      <c r="B7" s="76" t="s">
        <v>114</v>
      </c>
      <c r="C7" s="76" t="s">
        <v>118</v>
      </c>
      <c r="D7" s="76" t="s">
        <v>133</v>
      </c>
      <c r="E7" s="77" t="s">
        <v>617</v>
      </c>
    </row>
    <row r="8" customFormat="false" ht="15" hidden="false" customHeight="true" outlineLevel="0" collapsed="false">
      <c r="A8" s="75" t="s">
        <v>618</v>
      </c>
      <c r="B8" s="76" t="s">
        <v>619</v>
      </c>
      <c r="C8" s="76" t="s">
        <v>620</v>
      </c>
      <c r="D8" s="76" t="s">
        <v>621</v>
      </c>
      <c r="E8" s="77" t="s">
        <v>622</v>
      </c>
    </row>
    <row r="9" customFormat="false" ht="15" hidden="false" customHeight="true" outlineLevel="0" collapsed="false">
      <c r="A9" s="75" t="s">
        <v>623</v>
      </c>
      <c r="B9" s="76" t="s">
        <v>624</v>
      </c>
      <c r="C9" s="76" t="s">
        <v>625</v>
      </c>
      <c r="D9" s="76" t="s">
        <v>626</v>
      </c>
      <c r="E9" s="77" t="s">
        <v>627</v>
      </c>
    </row>
    <row r="10" customFormat="false" ht="15" hidden="false" customHeight="true" outlineLevel="0" collapsed="false">
      <c r="A10" s="75" t="s">
        <v>628</v>
      </c>
      <c r="B10" s="76" t="s">
        <v>629</v>
      </c>
      <c r="C10" s="76" t="s">
        <v>630</v>
      </c>
      <c r="D10" s="76" t="s">
        <v>631</v>
      </c>
      <c r="E10" s="77" t="s">
        <v>632</v>
      </c>
    </row>
    <row r="11" customFormat="false" ht="15" hidden="false" customHeight="true" outlineLevel="0" collapsed="false">
      <c r="A11" s="75" t="s">
        <v>633</v>
      </c>
      <c r="B11" s="76" t="s">
        <v>634</v>
      </c>
      <c r="C11" s="76" t="s">
        <v>635</v>
      </c>
      <c r="D11" s="76" t="s">
        <v>636</v>
      </c>
      <c r="E11" s="77" t="s">
        <v>637</v>
      </c>
    </row>
    <row r="12" customFormat="false" ht="15" hidden="false" customHeight="true" outlineLevel="0" collapsed="false">
      <c r="A12" s="75" t="s">
        <v>638</v>
      </c>
      <c r="B12" s="76" t="s">
        <v>639</v>
      </c>
      <c r="C12" s="76" t="s">
        <v>640</v>
      </c>
      <c r="D12" s="76" t="s">
        <v>641</v>
      </c>
      <c r="E12" s="77" t="s">
        <v>642</v>
      </c>
    </row>
    <row r="13" customFormat="false" ht="15" hidden="false" customHeight="true" outlineLevel="0" collapsed="false">
      <c r="A13" s="75" t="s">
        <v>643</v>
      </c>
      <c r="B13" s="76" t="s">
        <v>644</v>
      </c>
      <c r="C13" s="76" t="s">
        <v>645</v>
      </c>
      <c r="D13" s="76" t="s">
        <v>646</v>
      </c>
      <c r="E13" s="77" t="s">
        <v>647</v>
      </c>
    </row>
    <row r="14" customFormat="false" ht="15" hidden="false" customHeight="true" outlineLevel="0" collapsed="false">
      <c r="A14" s="75" t="s">
        <v>648</v>
      </c>
      <c r="B14" s="76" t="s">
        <v>649</v>
      </c>
      <c r="C14" s="76" t="s">
        <v>650</v>
      </c>
      <c r="D14" s="76" t="s">
        <v>650</v>
      </c>
      <c r="E14" s="77" t="s">
        <v>651</v>
      </c>
    </row>
    <row r="15" customFormat="false" ht="15" hidden="false" customHeight="true" outlineLevel="0" collapsed="false">
      <c r="A15" s="75" t="s">
        <v>652</v>
      </c>
      <c r="B15" s="76" t="s">
        <v>653</v>
      </c>
      <c r="C15" s="76" t="s">
        <v>653</v>
      </c>
      <c r="D15" s="76" t="s">
        <v>654</v>
      </c>
      <c r="E15" s="77" t="s">
        <v>655</v>
      </c>
    </row>
    <row r="16" customFormat="false" ht="15" hidden="false" customHeight="true" outlineLevel="0" collapsed="false">
      <c r="A16" s="75" t="s">
        <v>656</v>
      </c>
      <c r="B16" s="76" t="s">
        <v>624</v>
      </c>
      <c r="C16" s="76" t="s">
        <v>657</v>
      </c>
      <c r="D16" s="76" t="s">
        <v>621</v>
      </c>
      <c r="E16" s="77" t="s">
        <v>658</v>
      </c>
    </row>
    <row r="17" customFormat="false" ht="15" hidden="false" customHeight="true" outlineLevel="0" collapsed="false">
      <c r="A17" s="75" t="s">
        <v>659</v>
      </c>
      <c r="B17" s="76" t="s">
        <v>660</v>
      </c>
      <c r="C17" s="76" t="s">
        <v>661</v>
      </c>
      <c r="D17" s="76" t="s">
        <v>662</v>
      </c>
      <c r="E17" s="77" t="s">
        <v>663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2026-02-23T04:55:31Z</dcterms:created>
  <dc:creator>openpyxl</dc:creator>
  <dc:description/>
  <dc:language>en-US</dc:language>
  <cp:lastModifiedBy/>
  <dcterms:modified xsi:type="dcterms:W3CDTF">2026-02-23T05:43:06Z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